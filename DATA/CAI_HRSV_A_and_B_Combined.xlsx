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Thesis Write-up\"/>
    </mc:Choice>
  </mc:AlternateContent>
  <xr:revisionPtr revIDLastSave="0" documentId="13_ncr:1_{0A123FE7-E9B6-4592-AFA6-0D475BCEA198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CAI PLOT" sheetId="2" r:id="rId1"/>
    <sheet name="CAI_Results" sheetId="1" r:id="rId2"/>
    <sheet name="hRSV-B(N PLOT)" sheetId="4" r:id="rId3"/>
    <sheet name="hRSV-A (N PLOT)" sheetId="3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L199" i="4" l="1"/>
  <c r="K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5" i="4"/>
  <c r="K95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2" i="1"/>
</calcChain>
</file>

<file path=xl/sharedStrings.xml><?xml version="1.0" encoding="utf-8"?>
<sst xmlns="http://schemas.openxmlformats.org/spreadsheetml/2006/main" count="2430" uniqueCount="352">
  <si>
    <t>Subgroup</t>
  </si>
  <si>
    <t>Country</t>
  </si>
  <si>
    <t>Genes</t>
  </si>
  <si>
    <t>Length</t>
  </si>
  <si>
    <t>CAI</t>
  </si>
  <si>
    <t>%G+C</t>
  </si>
  <si>
    <t>%G+C(1)</t>
  </si>
  <si>
    <t>%G+C(2)</t>
  </si>
  <si>
    <t>%G+C(3)</t>
  </si>
  <si>
    <t>Nc</t>
  </si>
  <si>
    <t>hRSV-A</t>
  </si>
  <si>
    <t>Argentina</t>
  </si>
  <si>
    <t>NS1_NS1_nonstructural_protein_1_70:489_forward</t>
  </si>
  <si>
    <t>NS2_NS2_nonstructural_protein_2_599:973_forward</t>
  </si>
  <si>
    <t>N_N_nucleoprotein_1111:2286_forward</t>
  </si>
  <si>
    <t>P_P_phosphoprotein_2318:3043_forward</t>
  </si>
  <si>
    <t>M_M_matrix_protein_3226:3996_forward</t>
  </si>
  <si>
    <t>SH_SH_small_hydrophobic_protein_4266:4460_forward</t>
  </si>
  <si>
    <t>G_G_attachment_glycoprotein_4652:5617_forward</t>
  </si>
  <si>
    <t>F_F_fusion_glycoprotein_5697:7421_forward</t>
  </si>
  <si>
    <t>M2-1_M2-1_M2-1_protein_7640:8224_forward</t>
  </si>
  <si>
    <t>M2-2_M2-2_M2-2_protein_8199:8465_forward</t>
  </si>
  <si>
    <t>L_L_RNA-dependent_RNA_polymerase_8532:15029_forward</t>
  </si>
  <si>
    <t>Austrailia</t>
  </si>
  <si>
    <t>NS1_NS1_nonstructural_protein_1_64:483_forward</t>
  </si>
  <si>
    <t>NS2_NS2_nonstructural_protein_2_593:967_forward</t>
  </si>
  <si>
    <t>N_N_nucleoprotein_1105:2280_forward</t>
  </si>
  <si>
    <t>P_P_phosphoprotein_2313:3038_forward</t>
  </si>
  <si>
    <t>M_M_matrix_protein_3221:3991_forward</t>
  </si>
  <si>
    <t>SH_SH_small_hydrophobic_protein_4261:4455_forward</t>
  </si>
  <si>
    <t>G_G_attachment_glycoprotein_4646:5608_forward</t>
  </si>
  <si>
    <t>F_F_fusion_protein_5691:7415_forward</t>
  </si>
  <si>
    <t>M2-1_M2-1_matrix_protein_2-1_7634:8218_forward</t>
  </si>
  <si>
    <t>M2-2_M2-2_matrix_protein_2-2_8193:8459_forward</t>
  </si>
  <si>
    <t>L_L_RNA-directed_RNA_polymerase_8526:15023_forward</t>
  </si>
  <si>
    <t>Brazil</t>
  </si>
  <si>
    <t>NS1_NS1_nonstructural_protein_1_87:506_forward</t>
  </si>
  <si>
    <t>NS2_NS2_nonstructural_protein_2_616:990_forward</t>
  </si>
  <si>
    <t>N_N_nucleoprotein_1128:2303_forward</t>
  </si>
  <si>
    <t>P_P_phosphoprotein_2335:3060_forward</t>
  </si>
  <si>
    <t>M_M_matrix_protein_3244:4014_forward</t>
  </si>
  <si>
    <t>SH_SH_small_hydrophobic_protein_4285:4479_forward</t>
  </si>
  <si>
    <t>G_G_attachment_glycoprotein_4669:5565_forward</t>
  </si>
  <si>
    <t>F_F_fusion_protein_5642:7366_forward</t>
  </si>
  <si>
    <t>M2-1_M2-1_matrix_protein_2-1_7585:8169_forward</t>
  </si>
  <si>
    <t>M2-2_M2-2_matrix_protein_2-2_8144:8410_forward</t>
  </si>
  <si>
    <t>L_L_RNA-directed_RNA_polymerase_8477:14974_forward</t>
  </si>
  <si>
    <t>Canada</t>
  </si>
  <si>
    <t>M_M_matrix_protein_3228:3998_forward</t>
  </si>
  <si>
    <t>SH_SH_small_hydrophobic_protein_4269:4463_forward</t>
  </si>
  <si>
    <t>G_G_attachment_glycoprotein_4655:5620_forward</t>
  </si>
  <si>
    <t>F_F_fusion_glycoprotein_5700:7424_forward</t>
  </si>
  <si>
    <t>M2-1_M2-1_M2-1_protein_7643:8227_forward</t>
  </si>
  <si>
    <t>M2-2_M2-2_M2-2_protein_8202:8468_forward</t>
  </si>
  <si>
    <t>L_L_RNA-dependent_RNA_polymerase_8535:15032_forward</t>
  </si>
  <si>
    <t>China</t>
  </si>
  <si>
    <t>NS1_NS1_nonstructural_protein_1_72:491_forward</t>
  </si>
  <si>
    <t>NS2_NS2_nonstructural_protein_2_601:975_forward</t>
  </si>
  <si>
    <t>N_N_nucleoprotein_1113:2288_forward</t>
  </si>
  <si>
    <t>P_P_phosphoprotein_2320:3045_forward</t>
  </si>
  <si>
    <t>G_G_attachment_glycoprotein_4653:5618_forward</t>
  </si>
  <si>
    <t>F_F_fusion_glycoprotein_5698:7422_forward</t>
  </si>
  <si>
    <t>M2-1_M2-1_M2-1_protein_7641:8225_forward</t>
  </si>
  <si>
    <t>M2-2_M2-2_M2-2_protein_8200:8466_forward</t>
  </si>
  <si>
    <t>L_L_RNA-dependent_RNA_polymerase_8533:15030_forward</t>
  </si>
  <si>
    <t>Germany</t>
  </si>
  <si>
    <t>NS2_NS2_nonstructural_protein_2_618:992_forward</t>
  </si>
  <si>
    <t>N_N_nucleocapsid_protein_1130:2305_forward</t>
  </si>
  <si>
    <t>P_P_phosphoprotein_2337:3062_forward</t>
  </si>
  <si>
    <t>M_M_matrix_protein_3246:4016_forward</t>
  </si>
  <si>
    <t>SH_SH_small_hydrophobic_protein_4286:4480_forward</t>
  </si>
  <si>
    <t>G_G_attachment_glycoprotein_4671:5564_forward</t>
  </si>
  <si>
    <t>F_F_fusion_protein_5644:7368_forward</t>
  </si>
  <si>
    <t>M2-1_M2-1_transcription_elongation_factor_M2-1_7587:8171_forward</t>
  </si>
  <si>
    <t>M2-2_M2-2_transcription_replication_factor_M2-2_8146:8412_forward</t>
  </si>
  <si>
    <t>L_L_RNA-directed_RNA_polymerase_8479:14976_forward</t>
  </si>
  <si>
    <t>India</t>
  </si>
  <si>
    <t>NS1_NS1_non-structural_protein_1_70:489_forward</t>
  </si>
  <si>
    <t>NS2_NS2_non-structural_protein_2_599:973_forward</t>
  </si>
  <si>
    <t>N_N_nucleocapsid_protein_1111:2286_forward</t>
  </si>
  <si>
    <t>G_G_glycoprotein_4651:5616_forward</t>
  </si>
  <si>
    <t>F_F_fusion_protein_5696:7420_forward</t>
  </si>
  <si>
    <t>M2-1_M2-1_matrix_protein_2-1_7639:8223_forward</t>
  </si>
  <si>
    <t>M2-2_M2-2_matrix_protein_2-2_8198:8464_forward</t>
  </si>
  <si>
    <t>L_L_polymerase_8531:15028_forward</t>
  </si>
  <si>
    <t>Italy</t>
  </si>
  <si>
    <t>P_P_phosphoprotein_2319:3044_forward</t>
  </si>
  <si>
    <t>M_M_matrix_protein_3227:3997_forward</t>
  </si>
  <si>
    <t>SH_SH_small_hydrophobic_protein_4267:4461_forward</t>
  </si>
  <si>
    <t>Japan</t>
  </si>
  <si>
    <t>NS1_NS1_non-structural_protein_1_64:483_forward</t>
  </si>
  <si>
    <t>NS2_NS2_non-structural_protein_2_593:967_forward</t>
  </si>
  <si>
    <t>N_N_nucleocapsid_protein_1105:2280_forward</t>
  </si>
  <si>
    <t>P_P_phosphoprotein_2312:3037_forward</t>
  </si>
  <si>
    <t>M_M_matrix_protein_3220:3990_forward</t>
  </si>
  <si>
    <t>SH_SH_small_hydrophobic_protein_4260:4454_forward</t>
  </si>
  <si>
    <t>G_G_attachment_glycoprotein_4645:5610_forward</t>
  </si>
  <si>
    <t>F_F_fusion_protein_5690:7414_forward</t>
  </si>
  <si>
    <t>M2-1_M2-1_transcription_elongation_factor_m2-1_7630:8214_forward</t>
  </si>
  <si>
    <t>M2-2_M2-2_transcription_elongation_factor_m2-2_8189:8455_forward</t>
  </si>
  <si>
    <t>L_L_rna_directed_rna_polymerase_L_8522:15019_forward</t>
  </si>
  <si>
    <t>Kenya</t>
  </si>
  <si>
    <t>P_P_phosphoprotein_2334:3059_forward</t>
  </si>
  <si>
    <t>M_M_matrix_protein_3242:4012_forward</t>
  </si>
  <si>
    <t>SH_SH_small_hydrophobic_protein_4282:4476_forward</t>
  </si>
  <si>
    <t>G_G_attachment_glycoprotein_4667:5563_forward</t>
  </si>
  <si>
    <t>F_F_fusion_protein_5640:7364_forward</t>
  </si>
  <si>
    <t>M2-1_M2-1_matrix_protein_2-1_7583:8167_forward</t>
  </si>
  <si>
    <t>M2-2_M2-2_matrix_protein_2-2_8142:8408_forward</t>
  </si>
  <si>
    <t>L_L_RNA-directed_RNA_polymerase_8475:14972_forward</t>
  </si>
  <si>
    <t>Mexico</t>
  </si>
  <si>
    <t>NS1_NS1_nonstructural_protein_1_80:499_forward</t>
  </si>
  <si>
    <t>NS2_NS2_nonstructural_protein_2_611:985_forward</t>
  </si>
  <si>
    <t>N_N_nucleoprotein_1123:2298_forward</t>
  </si>
  <si>
    <t>P_P_phosphoprotein_2330:3055_forward</t>
  </si>
  <si>
    <t>M_M_matrix_protein_3238:4008_forward</t>
  </si>
  <si>
    <t>SH_SH_small_hydrophobic_protein_4278:4472_forward</t>
  </si>
  <si>
    <t>G_G_attachment_glycoprotein_4663:5556_forward</t>
  </si>
  <si>
    <t>F_F_fusion_glycoprotein_5636:7360_forward</t>
  </si>
  <si>
    <t>M2-1_M2-1_M2-1_protein_7579:8163_forward</t>
  </si>
  <si>
    <t>M2-2_M2-2_M2-2_protein_8138:8404_forward</t>
  </si>
  <si>
    <t>L_L_RNA-dependent_RNA_polymerase_8471:14968_forward</t>
  </si>
  <si>
    <t>Netherlands</t>
  </si>
  <si>
    <t>M_M_matrix_protein_3229:3999_forward</t>
  </si>
  <si>
    <t>Peru</t>
  </si>
  <si>
    <t>NS1_NS1_nonstructural_protein_1_82:501_forward</t>
  </si>
  <si>
    <t>M_M_matrix_protein_3237:4007_forward</t>
  </si>
  <si>
    <t>SH_SH_small_hydrophobic_protein_4277:4471_forward</t>
  </si>
  <si>
    <t>G_G_attachment_glycoprotein_4662:5627_forward</t>
  </si>
  <si>
    <t>F_F_fusion_glycoprotein_5707:7431_forward</t>
  </si>
  <si>
    <t>M2-1_M2-1_M2-1_protein_7647:8231_forward</t>
  </si>
  <si>
    <t>M2-2_M2-2_M2-2_protein_8206:8472_forward</t>
  </si>
  <si>
    <t>L_L_RNA-dependent_RNA_polymerase_8539:15036_forward</t>
  </si>
  <si>
    <t>Russia</t>
  </si>
  <si>
    <t>S. Africa</t>
  </si>
  <si>
    <t>NS1_NS1_nonstructural_protein_1_93:512_forward</t>
  </si>
  <si>
    <t>NS2_NS2_nonstructural_protein_2_622:996_forward</t>
  </si>
  <si>
    <t>N_N_nucleocapsid_protein_1134:2309_forward</t>
  </si>
  <si>
    <t>P_P_phosphoprotein_2341:3066_forward</t>
  </si>
  <si>
    <t>M_M_matrix_protein_3249:4019_forward</t>
  </si>
  <si>
    <t>SH_SH_small_hydrophobic_protein_4289:4483_forward</t>
  </si>
  <si>
    <t>G_G_attachment_glycoprotein_4675:5568_forward</t>
  </si>
  <si>
    <t>F_F_fusion_protein_5648:7372_forward</t>
  </si>
  <si>
    <t>M2-1_M2-1_M2-1_protein_7591:8175_forward</t>
  </si>
  <si>
    <t>M2-2_M2-2_M2-2_protein_8150:8416_forward</t>
  </si>
  <si>
    <t>L_L_large_polymerase_8483:14980_forward</t>
  </si>
  <si>
    <t>S.Korea</t>
  </si>
  <si>
    <t>NS1_NS1_nonstructural_protein_1_99:518_forward</t>
  </si>
  <si>
    <t>NS2_NS2_nonstructural_protein_2_628:1002_forward</t>
  </si>
  <si>
    <t>N_N_nucleoprotein_1143:2318_forward</t>
  </si>
  <si>
    <t>P_P_phosphoprotein_2354:3079_forward</t>
  </si>
  <si>
    <t>M_M_matrix_protein_3263:4033_forward</t>
  </si>
  <si>
    <t>SH_SH_small_hydrophobic_protein_4303:4497_forward</t>
  </si>
  <si>
    <t>G_G_attachment_glycoprotein_4691:5584_forward</t>
  </si>
  <si>
    <t>F_F_fusion_glycoprotein_5667:7391_forward</t>
  </si>
  <si>
    <t>M2-1_M2-1_M2-1_protein_7610:8194_forward</t>
  </si>
  <si>
    <t>M2-2_M2-2_M2-2_protein_8169:8435_forward</t>
  </si>
  <si>
    <t>L_L_RNA-dependent_RNA_polymerase_8502:14999_forward</t>
  </si>
  <si>
    <t>Thiland</t>
  </si>
  <si>
    <t>N_N_nucleocapsid_protein_1123:2298_forward</t>
  </si>
  <si>
    <t>M_M_matrix_protein_3239:4009_forward</t>
  </si>
  <si>
    <t>SH_SH_small_hydrophobic_protein_4279:4473_forward</t>
  </si>
  <si>
    <t>G_G_attachment_glycoprotein_4665:5630_forward</t>
  </si>
  <si>
    <t>F_F_fusion_protein_5710:7434_forward</t>
  </si>
  <si>
    <t>M2-1_M2-1_M2-1_protein_7653:8237_forward</t>
  </si>
  <si>
    <t>M2-2_M2-2_M2-2_protein_8212:8478_forward</t>
  </si>
  <si>
    <t>L_L_large_polymerase_8545:15042_forward</t>
  </si>
  <si>
    <t>USA</t>
  </si>
  <si>
    <t>M_M_matrix_protein_3243:4013_forward</t>
  </si>
  <si>
    <t>SH_SH_small_hydrophobic_protein_4283:4477_forward</t>
  </si>
  <si>
    <t>G_G_attachment_glycoprotein_4668:5633_forward</t>
  </si>
  <si>
    <t>F_F_fusion_glycoprotein_5713:7437_forward</t>
  </si>
  <si>
    <t>M2-1_M2-1_M2-1_protein_7656:8240_forward</t>
  </si>
  <si>
    <t>M2-2_M2-2_M2-2_protein_8215:8481_forward</t>
  </si>
  <si>
    <t>L_L_RNA-dependent_RNA_polymerase_8548:15048_forward</t>
  </si>
  <si>
    <t>hRSV-B</t>
  </si>
  <si>
    <t>NS1_NS1_nonstructural_protein_1_57:476_forward</t>
  </si>
  <si>
    <t>NS2_NS2_nonstructural_protein_2_584:958_forward</t>
  </si>
  <si>
    <t>N_N_nucleoprotein_1097:2272_forward</t>
  </si>
  <si>
    <t>P_P_phosphoprotein_2305:3030_forward</t>
  </si>
  <si>
    <t>SH_SH_small_hydrophobic_protein_4259:4456_forward</t>
  </si>
  <si>
    <t>G_G_attachment_glycoprotein_4646:5578_forward</t>
  </si>
  <si>
    <t>F_F_fusion_glycoprotein_5676:7400_forward</t>
  </si>
  <si>
    <t>M2_M2_M2-1_protein_7627:8214_forward</t>
  </si>
  <si>
    <t>M2_M2_M2-2_protein_8180:8452_forward</t>
  </si>
  <si>
    <t>L_L_RNA-dependent_RNA_polymerase_8518:15018_forward</t>
  </si>
  <si>
    <t>N_N_nucleocapsid_protein_1097:2272_forward</t>
  </si>
  <si>
    <t>M_M_matrix_protein_3154:3990_forward</t>
  </si>
  <si>
    <t>M2-1_M2-1_transcription_elongation_factor_M2-1_7627:8214_forward</t>
  </si>
  <si>
    <t>M2-2_M2-2_transcription_elongation_factor_M2-2_8180:8452_forward</t>
  </si>
  <si>
    <t>L_L_RNA-directed_RNA_polymerase_8518:15018_forward</t>
  </si>
  <si>
    <t>NS1_NS1_nonstructural_protein_1_91:510_forward</t>
  </si>
  <si>
    <t>N_N_nucleoprotein_1132:2307_forward</t>
  </si>
  <si>
    <t>P_P_phosphoprotein_2340:3065_forward</t>
  </si>
  <si>
    <t>M_M_matrix_protein_3255:4025_forward</t>
  </si>
  <si>
    <t>SH_SH_small_hydrophobic_protein_4294:4491_forward</t>
  </si>
  <si>
    <t>G_G_attachment_glycoprotein_4681:5634_forward</t>
  </si>
  <si>
    <t>F_F_fusion_protein_5711:7435_forward</t>
  </si>
  <si>
    <t>M2-1_M2-1_matrix_protein_2-1_7662:8249_forward</t>
  </si>
  <si>
    <t>M2-2_M2-2_matrix_protein_2-2_8215:8487_forward</t>
  </si>
  <si>
    <t>L_L_RNA-directed_RNA_polymerase_8553:15053_forward</t>
  </si>
  <si>
    <t>NS2_NS2_nonstructural_protein_2_597:971_forward</t>
  </si>
  <si>
    <t>N_N_nucleoprotein_1110:2285_forward</t>
  </si>
  <si>
    <t>M_M_matrix_protein_3233:4003_forward</t>
  </si>
  <si>
    <t>SH_SH_small_hydrophobic_protein_4272:4469_forward</t>
  </si>
  <si>
    <t>G_G_attachment_glycoprotein_4658:5590_forward</t>
  </si>
  <si>
    <t>F_F_fusion_glycoprotein_5688:7412_forward</t>
  </si>
  <si>
    <t>M2_M2_M2-1_protein_7639:8226_forward</t>
  </si>
  <si>
    <t>M2_M2_M2-2_protein_8192:8464_forward</t>
  </si>
  <si>
    <t>L_L_RNA-dependent_RNA_polymerase_8530:15030_forward</t>
  </si>
  <si>
    <t>NS1_NS1_nonstructural_protein_1_16:435_forward</t>
  </si>
  <si>
    <t>NS2_NS2_nonstructural_protein_2_543:917_forward</t>
  </si>
  <si>
    <t>N_N_nucleoprotein_1055:2230_forward</t>
  </si>
  <si>
    <t>P_P_phosphoprotein_2263:2988_forward</t>
  </si>
  <si>
    <t>M_M_matrix_protein_3178:3948_forward</t>
  </si>
  <si>
    <t>SH_SH_small_hydrophobic_protein_4217:4414_forward</t>
  </si>
  <si>
    <t>G_G_attachment_glycoprotein_4603:5535_forward</t>
  </si>
  <si>
    <t>F_F_fusion_protein_5633:7357_forward</t>
  </si>
  <si>
    <t>M2-1_M2-1_matrix_protein_M2-1_7584:8171_forward</t>
  </si>
  <si>
    <t>M2-2_M2-2_matrix_protein_M2-2_8137:8409_forward</t>
  </si>
  <si>
    <t>L_L_RNA-dependent_RNA_polymerase_8475:14975_forward</t>
  </si>
  <si>
    <t>NS1_NS1_nonstructural_protein_1_98:517_forward</t>
  </si>
  <si>
    <t>NS2_NS2_nonstructural_protein_2_625:999_forward</t>
  </si>
  <si>
    <t>N_N_nucleocapsid_protein_1138:2313_forward</t>
  </si>
  <si>
    <t>P_P_phosphoprotein_2346:3071_forward</t>
  </si>
  <si>
    <t>M_M_matrix_protein_3261:4031_forward</t>
  </si>
  <si>
    <t>SH_SH_small_hydrophobic_protein_4300:4497_forward</t>
  </si>
  <si>
    <t>G_G_attachment_glycoprotein_4687:5640_forward</t>
  </si>
  <si>
    <t>F_F_fusion_protein_5717:7441_forward</t>
  </si>
  <si>
    <t>M2-1_M2-1_transcription_elongation_factor_M2-1_7668:8255_forward</t>
  </si>
  <si>
    <t>M2-2_M2-2_transcription_replication_factor_M2-2_8221:8493_forward</t>
  </si>
  <si>
    <t>L_L_RNA-directed_RNA_polymerase_8559:15059_forward</t>
  </si>
  <si>
    <t>NS1_NS1_nonstructural_protein_1_118:537_forward</t>
  </si>
  <si>
    <t>NS2_NS2_nonstructural_protein_2_645:1019_forward</t>
  </si>
  <si>
    <t>N_N_nucleocapsid_protein_1158:2333_forward</t>
  </si>
  <si>
    <t>P_P_phosphoprotein_2366:3091_forward</t>
  </si>
  <si>
    <t>M_M_matrix_protein_3281:4051_forward</t>
  </si>
  <si>
    <t>SH_SH_small_hydrophobic_protein_4320:4517_forward</t>
  </si>
  <si>
    <t>G_G_attachment_glycoprotein_4707:5639_forward</t>
  </si>
  <si>
    <t>F_F_fusion_glycoprotein_5737:7461_forward</t>
  </si>
  <si>
    <t>M2-1_M2-1_transcription_elongation_factor_M2-1_7688:8275_forward</t>
  </si>
  <si>
    <t>M2-2_M2-2_transcription_elongation_factor_M2-2_8241:8513_forward</t>
  </si>
  <si>
    <t>L_L_RNA-directed_RNA_polymerase_L_8579:15079_forward</t>
  </si>
  <si>
    <t>NS1_NS1_nonstructural_protein_1_27:446_forward</t>
  </si>
  <si>
    <t>NS2_NS2_nonstructural_protein_2_554:928_forward</t>
  </si>
  <si>
    <t>N_N_nucleoprotein_1067:2242_forward</t>
  </si>
  <si>
    <t>P_P_phosphoprotein_2275:3000_forward</t>
  </si>
  <si>
    <t>M_M_matrix_protein_3190:3960_forward</t>
  </si>
  <si>
    <t>SH_SH_small_hydrophobic_protein_4229:4426_forward</t>
  </si>
  <si>
    <t>G_G_attachment_glycoprotein_4616:5548_forward</t>
  </si>
  <si>
    <t>F_F_fusion_glycoprotein_5646:7370_forward</t>
  </si>
  <si>
    <t>M2_M2_M2-1_protein_7597:8184_forward</t>
  </si>
  <si>
    <t>M2_M2_M2-2_protein_8150:8422_forward</t>
  </si>
  <si>
    <t>L_L_RNA-dependent_RNA_polymerase_8488:14988_forward</t>
  </si>
  <si>
    <t>NS1_NS1_non-structural_protein_1_87:506_forward</t>
  </si>
  <si>
    <t>NS2_NS2_non-structural_protein_2_614:988_forward</t>
  </si>
  <si>
    <t>N_N_nucleocapsid_protein_1127:2302_forward</t>
  </si>
  <si>
    <t>M_M_matrix_protein_3250:4020_forward</t>
  </si>
  <si>
    <t>SH_SH_small_hydrophobic_protein_4289:4486_forward</t>
  </si>
  <si>
    <t>G_G_attachment_glycoprotein_4676:5608_forward</t>
  </si>
  <si>
    <t>F_F_fusion_protein_5706:7430_forward</t>
  </si>
  <si>
    <t>M2-1_M2-1_transcription_elongation_factor_m2-1_7657:8244_forward</t>
  </si>
  <si>
    <t>M2-2_M2-2_transcription_elongation_factor_m2-2_8210:8482_forward</t>
  </si>
  <si>
    <t>L_L_rna_directed_rna_polymerase_L_8548:15048_forward</t>
  </si>
  <si>
    <t>NS2_NS2_nonstructural_protein_2_614:988_forward</t>
  </si>
  <si>
    <t>M_M_matrix_protein_3252:4022_forward</t>
  </si>
  <si>
    <t>SH_SH_small_hydrophobic_protein_4291:4488_forward</t>
  </si>
  <si>
    <t>G_G_attachment_glycoprotein_4678:5631_forward</t>
  </si>
  <si>
    <t>F_F_fusion_protein_5708:7432_forward</t>
  </si>
  <si>
    <t>M2-1_M2-1_matrix_protein_2-1_7659:8246_forward</t>
  </si>
  <si>
    <t>M2-2_M2-2_matrix_protein_2-2_8212:8484_forward</t>
  </si>
  <si>
    <t>L_L_RNA-directed_RNA_polymerase_8550:15050_forward</t>
  </si>
  <si>
    <t>G_G_attachment_glycoprotein_4615:5547_forward</t>
  </si>
  <si>
    <t>F_F_fusion_glycoprotein_5645:7369_forward</t>
  </si>
  <si>
    <t>M2_M2_M2-1_protein_7595:8182_forward</t>
  </si>
  <si>
    <t>M2_M2_M2-2_protein_8148:8420_forward</t>
  </si>
  <si>
    <t>L_L_RNA-dependent_RNA_polymerase_8486:14986_forward</t>
  </si>
  <si>
    <t>NS1_NS1_nonstructural_protein_1_67:486_forward</t>
  </si>
  <si>
    <t>NS2_NS2_nonstructural_protein_2_594:968_forward</t>
  </si>
  <si>
    <t>N_N_nucleoprotein_1106:2281_forward</t>
  </si>
  <si>
    <t>P_P_phosphoprotein_2314:3039_forward</t>
  </si>
  <si>
    <t>SH_SH_small_hydrophobic_protein_4268:4465_forward</t>
  </si>
  <si>
    <t>G_G_attachment_glycoprotein_4654:5586_forward</t>
  </si>
  <si>
    <t>F_F_fusion_glycoprotein_5684:7408_forward</t>
  </si>
  <si>
    <t>M2_M2_M2-1_protein_7635:8222_forward</t>
  </si>
  <si>
    <t>M2_M2_M2-2_protein_8188:8460_forward</t>
  </si>
  <si>
    <t>L_L_RNA-dependent_RNA_polymerase_8526:15026_forward</t>
  </si>
  <si>
    <t>NS1_NS1_nonstructural_protein_1_1:420_forward</t>
  </si>
  <si>
    <t>NS2_NS2_nonstructural_protein_2_528:902_forward</t>
  </si>
  <si>
    <t>N_N_nonstructural_protein_1_1040:2215_forward</t>
  </si>
  <si>
    <t>P_P_phosphoprotein_2248:2973_forward</t>
  </si>
  <si>
    <t>M_M_matrix_protein_3163:3933_forward</t>
  </si>
  <si>
    <t>SH_SH_small_hydrophobic_protein_4202:4399_forward</t>
  </si>
  <si>
    <t>G_G_attachment_glycoprotein_4588:5541_forward</t>
  </si>
  <si>
    <t>F_F_fusion_protein_5618:7342_forward</t>
  </si>
  <si>
    <t>M2-1_M2-1_M2-1_protein_7569:8156_forward</t>
  </si>
  <si>
    <t>M2-2_M2-2_M2-2_protein_8122:8394_forward</t>
  </si>
  <si>
    <t>L_L_RNA-dependent_RNA_polymerase_8460:14960_forward</t>
  </si>
  <si>
    <t>S.Africa</t>
  </si>
  <si>
    <t>NS1_NS1_nonstructural_protein_1_92:511_forward</t>
  </si>
  <si>
    <t>NS2_NS2_nonstructural_protein_2_619:993_forward</t>
  </si>
  <si>
    <t>N_N_nucleocapsid_protein_1132:2307_forward</t>
  </si>
  <si>
    <t>G_G_attachment_glycoprotein_4681:5553_forward</t>
  </si>
  <si>
    <t>F_F_fusion_protein_5651:7375_forward</t>
  </si>
  <si>
    <t>M2-1_M2-1_M2-1_protein_7602:8189_forward</t>
  </si>
  <si>
    <t>M2-2_M2-2_M2-2_protein_8155:8427_forward</t>
  </si>
  <si>
    <t>L_L_large_polymerase_8493:14993_forward</t>
  </si>
  <si>
    <t>S.korea</t>
  </si>
  <si>
    <t>NS2_NS2_nonstructural_protein_2_626:1000_forward</t>
  </si>
  <si>
    <t>N_N_nucleoprotein_1138:2313_forward</t>
  </si>
  <si>
    <t>G_G_attachment_glycoprotein_4687:5625_forward</t>
  </si>
  <si>
    <t>F_F_fusion_glycoprotein_5723:7447_forward</t>
  </si>
  <si>
    <t>M2_M2_M2-1_protein_7674:8261_forward</t>
  </si>
  <si>
    <t>M2_M2_M2-2_protein_8227:8499_forward</t>
  </si>
  <si>
    <t>L_L_RNA-dependent_RNA_polymerase_8565:15065_forward</t>
  </si>
  <si>
    <t>Thailand</t>
  </si>
  <si>
    <t>NS1_NS1_nonstructural_protein_1_11:430_forward</t>
  </si>
  <si>
    <t>NS2_NS2_nonstructural_protein_2_538:912_forward</t>
  </si>
  <si>
    <t>N_N_nucleocapsid_protein_1050:2225_forward</t>
  </si>
  <si>
    <t>P_P_phosphoprotein_2258:2983_forward</t>
  </si>
  <si>
    <t>M_M_matrix_protein_3173:3943_forward</t>
  </si>
  <si>
    <t>SH_SH_small_hydrophobic_protein_4212:4409_forward</t>
  </si>
  <si>
    <t>G_G_attachment_glycoprotein_4598:5530_forward</t>
  </si>
  <si>
    <t>F_F_fusion_protein_5628:7352_forward</t>
  </si>
  <si>
    <t>M2-1_M2-1_M2-1_protein_7579:8166_forward</t>
  </si>
  <si>
    <t>M2-2_M2-2_M2-2_protein_8132:8404_forward</t>
  </si>
  <si>
    <t>L_L_RNA-directed_RNA_polymerase_8470:14970_forward</t>
  </si>
  <si>
    <t>N_N_nucleoprotein_1137:2312_forward</t>
  </si>
  <si>
    <t>P_P_phosphoprotein_2345:3070_forward</t>
  </si>
  <si>
    <t>SH_SH_small_hydrophobic_protein_4302:4499_forward</t>
  </si>
  <si>
    <t>G_G_attachment_glycoprotein_4688:5641_forward</t>
  </si>
  <si>
    <t>F_F_fusion_glycoprotein_5718:7442_forward</t>
  </si>
  <si>
    <t>M2_M2_M2-1_protein_7669:8256_forward</t>
  </si>
  <si>
    <t>M2_M2_M2-2_protein_8222:8494_forward</t>
  </si>
  <si>
    <t>L_L_RNA-dependent_RNA_polymerase_8560:15060_forward</t>
  </si>
  <si>
    <t>GC12</t>
  </si>
  <si>
    <t>GeneName</t>
  </si>
  <si>
    <t>Column Labels</t>
  </si>
  <si>
    <t>Grand Total</t>
  </si>
  <si>
    <t>Row Labels</t>
  </si>
  <si>
    <t>F</t>
  </si>
  <si>
    <t>G</t>
  </si>
  <si>
    <t>L</t>
  </si>
  <si>
    <t>M</t>
  </si>
  <si>
    <t>M2-1</t>
  </si>
  <si>
    <t>M2-2</t>
  </si>
  <si>
    <t>N</t>
  </si>
  <si>
    <t>NS1</t>
  </si>
  <si>
    <t>NS2</t>
  </si>
  <si>
    <t>P</t>
  </si>
  <si>
    <t>SH</t>
  </si>
  <si>
    <t>Average of 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</si>
</sst>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[CAI_HRSV_A_and_B_Combined.xlsx]CAI PLOT!PivotTable1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CAI</a:t>
            </a:r>
            <a:r>
              <a:rPr lang="en-US" baseline="0"/>
              <a:t> Comparison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'CAI PLOT'!$B$1:$B$2</c:f>
              <c:strCache>
                <c:ptCount val="1"/>
                <c:pt idx="0">
                  <c:v>hRSV-A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'CAI PLOT'!$A$3:$A$14</c:f>
              <c:strCache>
                <c:ptCount val="11"/>
                <c:pt idx="0">
                  <c:v>F</c:v>
                </c:pt>
                <c:pt idx="1">
                  <c:v>G</c:v>
                </c:pt>
                <c:pt idx="2">
                  <c:v>L</c:v>
                </c:pt>
                <c:pt idx="3">
                  <c:v>M</c:v>
                </c:pt>
                <c:pt idx="4">
                  <c:v>M2-1</c:v>
                </c:pt>
                <c:pt idx="5">
                  <c:v>M2-2</c:v>
                </c:pt>
                <c:pt idx="6">
                  <c:v>N</c:v>
                </c:pt>
                <c:pt idx="7">
                  <c:v>NS1</c:v>
                </c:pt>
                <c:pt idx="8">
                  <c:v>NS2</c:v>
                </c:pt>
                <c:pt idx="9">
                  <c:v>P</c:v>
                </c:pt>
                <c:pt idx="10">
                  <c:v>SH</c:v>
                </c:pt>
              </c:strCache>
            </c:strRef>
          </c:cat>
          <c:val>
            <c:numRef>
              <c:f>'CAI PLOT'!$B$3:$B$14</c:f>
              <c:numCache>
                <c:formatCode>General</c:formatCode>
                <c:ptCount val="11"/>
                <c:pt idx="0">
                  <c:v>0.69044444444444453</c:v>
                </c:pt>
                <c:pt idx="1">
                  <c:v>0.74900000000000011</c:v>
                </c:pt>
                <c:pt idx="2">
                  <c:v>0.69222222222222229</c:v>
                </c:pt>
                <c:pt idx="3">
                  <c:v>0.69594444444444437</c:v>
                </c:pt>
                <c:pt idx="4">
                  <c:v>0.73105555555555546</c:v>
                </c:pt>
                <c:pt idx="5">
                  <c:v>0.63927777777777772</c:v>
                </c:pt>
                <c:pt idx="6">
                  <c:v>0.69983333333333331</c:v>
                </c:pt>
                <c:pt idx="7">
                  <c:v>0.70777777777777784</c:v>
                </c:pt>
                <c:pt idx="8">
                  <c:v>0.75855555555555543</c:v>
                </c:pt>
                <c:pt idx="9">
                  <c:v>0.71661111111111098</c:v>
                </c:pt>
                <c:pt idx="10">
                  <c:v>0.68277777777777782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C-4A2D-AB11-D506332EFCE4}"/>
            </c:ext>
          </c:extLst>
        </c:ser>
        <c:ser>
          <c:idx val="1"/>
          <c:order val="1"/>
          <c:tx>
            <c:strRef>
              <c:f>'CAI PLOT'!$C$1:$C$2</c:f>
              <c:strCache>
                <c:ptCount val="1"/>
                <c:pt idx="0">
                  <c:v>hRSV-B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'CAI PLOT'!$A$3:$A$14</c:f>
              <c:strCache>
                <c:ptCount val="11"/>
                <c:pt idx="0">
                  <c:v>F</c:v>
                </c:pt>
                <c:pt idx="1">
                  <c:v>G</c:v>
                </c:pt>
                <c:pt idx="2">
                  <c:v>L</c:v>
                </c:pt>
                <c:pt idx="3">
                  <c:v>M</c:v>
                </c:pt>
                <c:pt idx="4">
                  <c:v>M2-1</c:v>
                </c:pt>
                <c:pt idx="5">
                  <c:v>M2-2</c:v>
                </c:pt>
                <c:pt idx="6">
                  <c:v>N</c:v>
                </c:pt>
                <c:pt idx="7">
                  <c:v>NS1</c:v>
                </c:pt>
                <c:pt idx="8">
                  <c:v>NS2</c:v>
                </c:pt>
                <c:pt idx="9">
                  <c:v>P</c:v>
                </c:pt>
                <c:pt idx="10">
                  <c:v>SH</c:v>
                </c:pt>
              </c:strCache>
            </c:strRef>
          </c:cat>
          <c:val>
            <c:numRef>
              <c:f>'CAI PLOT'!$C$3:$C$14</c:f>
              <c:numCache>
                <c:formatCode>General</c:formatCode>
                <c:ptCount val="11"/>
                <c:pt idx="0">
                  <c:v>0.69483333333333308</c:v>
                </c:pt>
                <c:pt idx="1">
                  <c:v>0.74538888888888888</c:v>
                </c:pt>
                <c:pt idx="2">
                  <c:v>0.69527777777777777</c:v>
                </c:pt>
                <c:pt idx="3">
                  <c:v>0.7011666666666666</c:v>
                </c:pt>
                <c:pt idx="4">
                  <c:v>0.73455555555555552</c:v>
                </c:pt>
                <c:pt idx="5">
                  <c:v>0.68994444444444425</c:v>
                </c:pt>
                <c:pt idx="6">
                  <c:v>0.67755555555555558</c:v>
                </c:pt>
                <c:pt idx="7">
                  <c:v>0.68144444444444441</c:v>
                </c:pt>
                <c:pt idx="8">
                  <c:v>0.7380000000000001</c:v>
                </c:pt>
                <c:pt idx="9">
                  <c:v>0.7358888888888887</c:v>
                </c:pt>
                <c:pt idx="10">
                  <c:v>0.64900000000000013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C-4A2D-AB11-D506332EF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1967"/>
        <c:axId val="772130447"/>
      </c:barChart>
      <c:catAx>
        <c:axId val="77214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30447"/>
        <c:crosses val="autoZero"/>
        <c:auto val="1"/>
        <c:lblAlgn val="ctr"/>
        <c:lblOffset val="100"/>
        <c:noMultiLvlLbl val="0"/>
      </c:catAx>
      <c:valAx>
        <c:axId val="7721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Codon</a:t>
                </a:r>
                <a:r>
                  <a:rPr lang="en-US" baseline="0"/>
                  <a:t> Adaptation Average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41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hRSV-B</a:t>
            </a:r>
            <a:r>
              <a:rPr lang="en-US" b="1" baseline="0"/>
              <a:t> Neutrality Plot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'hRSV-B(N PLOT)'!$K$1</c:f>
              <c:strCache>
                <c:ptCount val="1"/>
                <c:pt idx="0">
                  <c:v>GC12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18445073900348E-3"/>
                  <c:y val="-0.1335540633273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'hRSV-B(N PLOT)'!$I$2:$I$199</c:f>
              <c:numCache>
                <c:formatCode>General</c:formatCode>
                <c:ptCount val="198"/>
                <c:pt idx="0">
                  <c:v>24.3</c:v>
                </c:pt>
                <c:pt idx="1">
                  <c:v>42.4</c:v>
                </c:pt>
                <c:pt idx="2">
                  <c:v>28.8</c:v>
                </c:pt>
                <c:pt idx="3">
                  <c:v>32.200000000000003</c:v>
                </c:pt>
                <c:pt idx="4">
                  <c:v>33.9</c:v>
                </c:pt>
                <c:pt idx="5">
                  <c:v>33.299999999999997</c:v>
                </c:pt>
                <c:pt idx="6">
                  <c:v>37.6</c:v>
                </c:pt>
                <c:pt idx="7">
                  <c:v>30.8</c:v>
                </c:pt>
                <c:pt idx="8">
                  <c:v>36.700000000000003</c:v>
                </c:pt>
                <c:pt idx="9">
                  <c:v>26.4</c:v>
                </c:pt>
                <c:pt idx="10">
                  <c:v>25.9</c:v>
                </c:pt>
                <c:pt idx="11">
                  <c:v>24.3</c:v>
                </c:pt>
                <c:pt idx="12">
                  <c:v>42.4</c:v>
                </c:pt>
                <c:pt idx="13">
                  <c:v>29.1</c:v>
                </c:pt>
                <c:pt idx="14">
                  <c:v>32.6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36.299999999999997</c:v>
                </c:pt>
                <c:pt idx="18">
                  <c:v>30.8</c:v>
                </c:pt>
                <c:pt idx="19">
                  <c:v>35.700000000000003</c:v>
                </c:pt>
                <c:pt idx="20">
                  <c:v>26.4</c:v>
                </c:pt>
                <c:pt idx="21">
                  <c:v>25.6</c:v>
                </c:pt>
                <c:pt idx="22">
                  <c:v>24.3</c:v>
                </c:pt>
                <c:pt idx="23">
                  <c:v>40</c:v>
                </c:pt>
                <c:pt idx="24">
                  <c:v>29.8</c:v>
                </c:pt>
                <c:pt idx="25">
                  <c:v>31.8</c:v>
                </c:pt>
                <c:pt idx="26">
                  <c:v>32.299999999999997</c:v>
                </c:pt>
                <c:pt idx="27">
                  <c:v>30.3</c:v>
                </c:pt>
                <c:pt idx="28">
                  <c:v>37.1</c:v>
                </c:pt>
                <c:pt idx="29">
                  <c:v>31.1</c:v>
                </c:pt>
                <c:pt idx="30">
                  <c:v>37.200000000000003</c:v>
                </c:pt>
                <c:pt idx="31">
                  <c:v>27.5</c:v>
                </c:pt>
                <c:pt idx="32">
                  <c:v>25.8</c:v>
                </c:pt>
                <c:pt idx="33">
                  <c:v>24.3</c:v>
                </c:pt>
                <c:pt idx="34">
                  <c:v>42.4</c:v>
                </c:pt>
                <c:pt idx="35">
                  <c:v>29.8</c:v>
                </c:pt>
                <c:pt idx="36">
                  <c:v>33.1</c:v>
                </c:pt>
                <c:pt idx="37">
                  <c:v>33.5</c:v>
                </c:pt>
                <c:pt idx="38">
                  <c:v>33.299999999999997</c:v>
                </c:pt>
                <c:pt idx="39">
                  <c:v>37.299999999999997</c:v>
                </c:pt>
                <c:pt idx="40">
                  <c:v>31</c:v>
                </c:pt>
                <c:pt idx="41">
                  <c:v>36.200000000000003</c:v>
                </c:pt>
                <c:pt idx="42">
                  <c:v>28.6</c:v>
                </c:pt>
                <c:pt idx="43">
                  <c:v>25.7</c:v>
                </c:pt>
                <c:pt idx="44">
                  <c:v>25.7</c:v>
                </c:pt>
                <c:pt idx="45">
                  <c:v>41.6</c:v>
                </c:pt>
                <c:pt idx="46">
                  <c:v>28.8</c:v>
                </c:pt>
                <c:pt idx="47">
                  <c:v>33.5</c:v>
                </c:pt>
                <c:pt idx="48">
                  <c:v>33.1</c:v>
                </c:pt>
                <c:pt idx="49">
                  <c:v>33.299999999999997</c:v>
                </c:pt>
                <c:pt idx="50">
                  <c:v>37</c:v>
                </c:pt>
                <c:pt idx="51">
                  <c:v>31.5</c:v>
                </c:pt>
                <c:pt idx="52">
                  <c:v>36.700000000000003</c:v>
                </c:pt>
                <c:pt idx="53">
                  <c:v>26.4</c:v>
                </c:pt>
                <c:pt idx="54">
                  <c:v>25.7</c:v>
                </c:pt>
                <c:pt idx="55">
                  <c:v>25</c:v>
                </c:pt>
                <c:pt idx="56">
                  <c:v>41.6</c:v>
                </c:pt>
                <c:pt idx="57">
                  <c:v>28.8</c:v>
                </c:pt>
                <c:pt idx="58">
                  <c:v>32.200000000000003</c:v>
                </c:pt>
                <c:pt idx="59">
                  <c:v>33.5</c:v>
                </c:pt>
                <c:pt idx="60">
                  <c:v>34.799999999999997</c:v>
                </c:pt>
                <c:pt idx="61">
                  <c:v>37.1</c:v>
                </c:pt>
                <c:pt idx="62">
                  <c:v>30.8</c:v>
                </c:pt>
                <c:pt idx="63">
                  <c:v>36.700000000000003</c:v>
                </c:pt>
                <c:pt idx="64">
                  <c:v>26.4</c:v>
                </c:pt>
                <c:pt idx="65">
                  <c:v>25.6</c:v>
                </c:pt>
                <c:pt idx="66">
                  <c:v>23.6</c:v>
                </c:pt>
                <c:pt idx="67">
                  <c:v>42.4</c:v>
                </c:pt>
                <c:pt idx="68">
                  <c:v>29.6</c:v>
                </c:pt>
                <c:pt idx="69">
                  <c:v>31.8</c:v>
                </c:pt>
                <c:pt idx="70">
                  <c:v>33.1</c:v>
                </c:pt>
                <c:pt idx="71">
                  <c:v>34.799999999999997</c:v>
                </c:pt>
                <c:pt idx="72">
                  <c:v>37.9</c:v>
                </c:pt>
                <c:pt idx="73">
                  <c:v>30.6</c:v>
                </c:pt>
                <c:pt idx="74">
                  <c:v>37.799999999999997</c:v>
                </c:pt>
                <c:pt idx="75">
                  <c:v>26.4</c:v>
                </c:pt>
                <c:pt idx="76">
                  <c:v>25.9</c:v>
                </c:pt>
                <c:pt idx="77">
                  <c:v>23.6</c:v>
                </c:pt>
                <c:pt idx="78">
                  <c:v>42.4</c:v>
                </c:pt>
                <c:pt idx="79">
                  <c:v>29.3</c:v>
                </c:pt>
                <c:pt idx="80">
                  <c:v>32.200000000000003</c:v>
                </c:pt>
                <c:pt idx="81">
                  <c:v>33.5</c:v>
                </c:pt>
                <c:pt idx="82">
                  <c:v>33.299999999999997</c:v>
                </c:pt>
                <c:pt idx="83">
                  <c:v>37</c:v>
                </c:pt>
                <c:pt idx="84">
                  <c:v>30.1</c:v>
                </c:pt>
                <c:pt idx="85">
                  <c:v>36.200000000000003</c:v>
                </c:pt>
                <c:pt idx="86">
                  <c:v>26.4</c:v>
                </c:pt>
                <c:pt idx="87">
                  <c:v>25.5</c:v>
                </c:pt>
                <c:pt idx="88">
                  <c:v>27.1</c:v>
                </c:pt>
                <c:pt idx="89">
                  <c:v>42.4</c:v>
                </c:pt>
                <c:pt idx="90">
                  <c:v>30.4</c:v>
                </c:pt>
                <c:pt idx="91">
                  <c:v>32.200000000000003</c:v>
                </c:pt>
                <c:pt idx="92">
                  <c:v>33.5</c:v>
                </c:pt>
                <c:pt idx="93">
                  <c:v>33.299999999999997</c:v>
                </c:pt>
                <c:pt idx="94">
                  <c:v>38.299999999999997</c:v>
                </c:pt>
                <c:pt idx="95">
                  <c:v>30.6</c:v>
                </c:pt>
                <c:pt idx="96">
                  <c:v>36.700000000000003</c:v>
                </c:pt>
                <c:pt idx="97">
                  <c:v>26.4</c:v>
                </c:pt>
                <c:pt idx="98">
                  <c:v>25.7</c:v>
                </c:pt>
                <c:pt idx="99">
                  <c:v>24.3</c:v>
                </c:pt>
                <c:pt idx="100">
                  <c:v>41.6</c:v>
                </c:pt>
                <c:pt idx="101">
                  <c:v>29.1</c:v>
                </c:pt>
                <c:pt idx="102">
                  <c:v>30.6</c:v>
                </c:pt>
                <c:pt idx="103">
                  <c:v>32.299999999999997</c:v>
                </c:pt>
                <c:pt idx="104">
                  <c:v>31.8</c:v>
                </c:pt>
                <c:pt idx="105">
                  <c:v>38.1</c:v>
                </c:pt>
                <c:pt idx="106">
                  <c:v>31.1</c:v>
                </c:pt>
                <c:pt idx="107">
                  <c:v>36.700000000000003</c:v>
                </c:pt>
                <c:pt idx="108">
                  <c:v>28.6</c:v>
                </c:pt>
                <c:pt idx="109">
                  <c:v>25.7</c:v>
                </c:pt>
                <c:pt idx="110">
                  <c:v>24.3</c:v>
                </c:pt>
                <c:pt idx="111">
                  <c:v>43.2</c:v>
                </c:pt>
                <c:pt idx="112">
                  <c:v>29.8</c:v>
                </c:pt>
                <c:pt idx="113">
                  <c:v>33.1</c:v>
                </c:pt>
                <c:pt idx="114">
                  <c:v>33.1</c:v>
                </c:pt>
                <c:pt idx="115">
                  <c:v>34.799999999999997</c:v>
                </c:pt>
                <c:pt idx="116">
                  <c:v>36.299999999999997</c:v>
                </c:pt>
                <c:pt idx="117">
                  <c:v>31.1</c:v>
                </c:pt>
                <c:pt idx="118">
                  <c:v>35.700000000000003</c:v>
                </c:pt>
                <c:pt idx="119">
                  <c:v>26.4</c:v>
                </c:pt>
                <c:pt idx="120">
                  <c:v>25.8</c:v>
                </c:pt>
                <c:pt idx="121">
                  <c:v>24.3</c:v>
                </c:pt>
                <c:pt idx="122">
                  <c:v>43.2</c:v>
                </c:pt>
                <c:pt idx="123">
                  <c:v>29.3</c:v>
                </c:pt>
                <c:pt idx="124">
                  <c:v>32.6</c:v>
                </c:pt>
                <c:pt idx="125">
                  <c:v>32.700000000000003</c:v>
                </c:pt>
                <c:pt idx="126">
                  <c:v>33.299999999999997</c:v>
                </c:pt>
                <c:pt idx="127">
                  <c:v>37.9</c:v>
                </c:pt>
                <c:pt idx="128">
                  <c:v>30.6</c:v>
                </c:pt>
                <c:pt idx="129">
                  <c:v>36.200000000000003</c:v>
                </c:pt>
                <c:pt idx="130">
                  <c:v>27.5</c:v>
                </c:pt>
                <c:pt idx="131">
                  <c:v>25.8</c:v>
                </c:pt>
                <c:pt idx="132">
                  <c:v>24.3</c:v>
                </c:pt>
                <c:pt idx="133">
                  <c:v>42.4</c:v>
                </c:pt>
                <c:pt idx="134">
                  <c:v>28.6</c:v>
                </c:pt>
                <c:pt idx="135">
                  <c:v>32.200000000000003</c:v>
                </c:pt>
                <c:pt idx="136">
                  <c:v>33.1</c:v>
                </c:pt>
                <c:pt idx="137">
                  <c:v>33.299999999999997</c:v>
                </c:pt>
                <c:pt idx="138">
                  <c:v>37</c:v>
                </c:pt>
                <c:pt idx="139">
                  <c:v>30.6</c:v>
                </c:pt>
                <c:pt idx="140">
                  <c:v>36.200000000000003</c:v>
                </c:pt>
                <c:pt idx="141">
                  <c:v>26.4</c:v>
                </c:pt>
                <c:pt idx="142">
                  <c:v>25.7</c:v>
                </c:pt>
                <c:pt idx="143">
                  <c:v>24.3</c:v>
                </c:pt>
                <c:pt idx="144">
                  <c:v>42.4</c:v>
                </c:pt>
                <c:pt idx="145">
                  <c:v>29.1</c:v>
                </c:pt>
                <c:pt idx="146">
                  <c:v>32.200000000000003</c:v>
                </c:pt>
                <c:pt idx="147">
                  <c:v>34.200000000000003</c:v>
                </c:pt>
                <c:pt idx="148">
                  <c:v>33.299999999999997</c:v>
                </c:pt>
                <c:pt idx="149">
                  <c:v>37.1</c:v>
                </c:pt>
                <c:pt idx="150">
                  <c:v>30.6</c:v>
                </c:pt>
                <c:pt idx="151">
                  <c:v>36.200000000000003</c:v>
                </c:pt>
                <c:pt idx="152">
                  <c:v>26.4</c:v>
                </c:pt>
                <c:pt idx="153">
                  <c:v>25.7</c:v>
                </c:pt>
                <c:pt idx="154">
                  <c:v>24.3</c:v>
                </c:pt>
                <c:pt idx="155">
                  <c:v>42.4</c:v>
                </c:pt>
                <c:pt idx="156">
                  <c:v>30.1</c:v>
                </c:pt>
                <c:pt idx="157">
                  <c:v>32.200000000000003</c:v>
                </c:pt>
                <c:pt idx="158">
                  <c:v>34.200000000000003</c:v>
                </c:pt>
                <c:pt idx="159">
                  <c:v>33.299999999999997</c:v>
                </c:pt>
                <c:pt idx="160">
                  <c:v>35.4</c:v>
                </c:pt>
                <c:pt idx="161">
                  <c:v>30.6</c:v>
                </c:pt>
                <c:pt idx="162">
                  <c:v>36.200000000000003</c:v>
                </c:pt>
                <c:pt idx="163">
                  <c:v>26.4</c:v>
                </c:pt>
                <c:pt idx="164">
                  <c:v>25.7</c:v>
                </c:pt>
                <c:pt idx="165">
                  <c:v>25.7</c:v>
                </c:pt>
                <c:pt idx="166">
                  <c:v>41.6</c:v>
                </c:pt>
                <c:pt idx="167">
                  <c:v>28.6</c:v>
                </c:pt>
                <c:pt idx="168">
                  <c:v>31.8</c:v>
                </c:pt>
                <c:pt idx="169">
                  <c:v>33.5</c:v>
                </c:pt>
                <c:pt idx="170">
                  <c:v>33.299999999999997</c:v>
                </c:pt>
                <c:pt idx="171">
                  <c:v>36.5</c:v>
                </c:pt>
                <c:pt idx="172">
                  <c:v>30.8</c:v>
                </c:pt>
                <c:pt idx="173">
                  <c:v>36.700000000000003</c:v>
                </c:pt>
                <c:pt idx="174">
                  <c:v>26.4</c:v>
                </c:pt>
                <c:pt idx="175">
                  <c:v>25.6</c:v>
                </c:pt>
                <c:pt idx="176">
                  <c:v>23.6</c:v>
                </c:pt>
                <c:pt idx="177">
                  <c:v>41.6</c:v>
                </c:pt>
                <c:pt idx="178">
                  <c:v>28.3</c:v>
                </c:pt>
                <c:pt idx="179">
                  <c:v>33.5</c:v>
                </c:pt>
                <c:pt idx="180">
                  <c:v>34.6</c:v>
                </c:pt>
                <c:pt idx="181">
                  <c:v>34.799999999999997</c:v>
                </c:pt>
                <c:pt idx="182">
                  <c:v>37</c:v>
                </c:pt>
                <c:pt idx="183">
                  <c:v>30.6</c:v>
                </c:pt>
                <c:pt idx="184">
                  <c:v>37.200000000000003</c:v>
                </c:pt>
                <c:pt idx="185">
                  <c:v>25.3</c:v>
                </c:pt>
                <c:pt idx="186">
                  <c:v>25.8</c:v>
                </c:pt>
                <c:pt idx="187">
                  <c:v>24.3</c:v>
                </c:pt>
                <c:pt idx="188">
                  <c:v>42.4</c:v>
                </c:pt>
                <c:pt idx="189">
                  <c:v>29.1</c:v>
                </c:pt>
                <c:pt idx="190">
                  <c:v>31.8</c:v>
                </c:pt>
                <c:pt idx="191">
                  <c:v>33.5</c:v>
                </c:pt>
                <c:pt idx="192">
                  <c:v>31.8</c:v>
                </c:pt>
                <c:pt idx="193">
                  <c:v>37.700000000000003</c:v>
                </c:pt>
                <c:pt idx="194">
                  <c:v>30.4</c:v>
                </c:pt>
                <c:pt idx="195">
                  <c:v>36.200000000000003</c:v>
                </c:pt>
                <c:pt idx="196">
                  <c:v>25.3</c:v>
                </c:pt>
                <c:pt idx="197">
                  <c:v>25.6</c:v>
                </c:pt>
              </c:numCache>
            </c:numRef>
          </c:xVal>
          <c:yVal>
            <c:numRef>
              <c:f>'hRSV-B(N PLOT)'!$K$2:$K$199</c:f>
              <c:numCache>
                <c:formatCode>General</c:formatCode>
                <c:ptCount val="198"/>
                <c:pt idx="0">
                  <c:v>33.200000000000003</c:v>
                </c:pt>
                <c:pt idx="1">
                  <c:v>31.2</c:v>
                </c:pt>
                <c:pt idx="2">
                  <c:v>41.05</c:v>
                </c:pt>
                <c:pt idx="3">
                  <c:v>40.099999999999994</c:v>
                </c:pt>
                <c:pt idx="4">
                  <c:v>39.1</c:v>
                </c:pt>
                <c:pt idx="5">
                  <c:v>28.05</c:v>
                </c:pt>
                <c:pt idx="6">
                  <c:v>42.6</c:v>
                </c:pt>
                <c:pt idx="7">
                  <c:v>36.6</c:v>
                </c:pt>
                <c:pt idx="8">
                  <c:v>36.25</c:v>
                </c:pt>
                <c:pt idx="9">
                  <c:v>28.6</c:v>
                </c:pt>
                <c:pt idx="10">
                  <c:v>33.950000000000003</c:v>
                </c:pt>
                <c:pt idx="11">
                  <c:v>33.200000000000003</c:v>
                </c:pt>
                <c:pt idx="12">
                  <c:v>31.2</c:v>
                </c:pt>
                <c:pt idx="13">
                  <c:v>41.3</c:v>
                </c:pt>
                <c:pt idx="14">
                  <c:v>40.299999999999997</c:v>
                </c:pt>
                <c:pt idx="15">
                  <c:v>38.549999999999997</c:v>
                </c:pt>
                <c:pt idx="16">
                  <c:v>28.05</c:v>
                </c:pt>
                <c:pt idx="17">
                  <c:v>41.8</c:v>
                </c:pt>
                <c:pt idx="18">
                  <c:v>36.599999999999994</c:v>
                </c:pt>
                <c:pt idx="19">
                  <c:v>36.25</c:v>
                </c:pt>
                <c:pt idx="20">
                  <c:v>29.150000000000002</c:v>
                </c:pt>
                <c:pt idx="21">
                  <c:v>34</c:v>
                </c:pt>
                <c:pt idx="22">
                  <c:v>33.200000000000003</c:v>
                </c:pt>
                <c:pt idx="23">
                  <c:v>30.799999999999997</c:v>
                </c:pt>
                <c:pt idx="24">
                  <c:v>41.2</c:v>
                </c:pt>
                <c:pt idx="25">
                  <c:v>40.299999999999997</c:v>
                </c:pt>
                <c:pt idx="26">
                  <c:v>39.1</c:v>
                </c:pt>
                <c:pt idx="27">
                  <c:v>27.3</c:v>
                </c:pt>
                <c:pt idx="28">
                  <c:v>41.65</c:v>
                </c:pt>
                <c:pt idx="29">
                  <c:v>36.599999999999994</c:v>
                </c:pt>
                <c:pt idx="30">
                  <c:v>36.5</c:v>
                </c:pt>
                <c:pt idx="31">
                  <c:v>29.700000000000003</c:v>
                </c:pt>
                <c:pt idx="32">
                  <c:v>33.950000000000003</c:v>
                </c:pt>
                <c:pt idx="33">
                  <c:v>33.200000000000003</c:v>
                </c:pt>
                <c:pt idx="34">
                  <c:v>30.4</c:v>
                </c:pt>
                <c:pt idx="35">
                  <c:v>41.05</c:v>
                </c:pt>
                <c:pt idx="36">
                  <c:v>40.299999999999997</c:v>
                </c:pt>
                <c:pt idx="37">
                  <c:v>39.1</c:v>
                </c:pt>
                <c:pt idx="38">
                  <c:v>28.05</c:v>
                </c:pt>
                <c:pt idx="39">
                  <c:v>42.3</c:v>
                </c:pt>
                <c:pt idx="40">
                  <c:v>36.599999999999994</c:v>
                </c:pt>
                <c:pt idx="41">
                  <c:v>36.25</c:v>
                </c:pt>
                <c:pt idx="42">
                  <c:v>30.25</c:v>
                </c:pt>
                <c:pt idx="43">
                  <c:v>34</c:v>
                </c:pt>
                <c:pt idx="44">
                  <c:v>32.85</c:v>
                </c:pt>
                <c:pt idx="45">
                  <c:v>31.2</c:v>
                </c:pt>
                <c:pt idx="46">
                  <c:v>41.05</c:v>
                </c:pt>
                <c:pt idx="47">
                  <c:v>40.099999999999994</c:v>
                </c:pt>
                <c:pt idx="48">
                  <c:v>39.1</c:v>
                </c:pt>
                <c:pt idx="49">
                  <c:v>28.05</c:v>
                </c:pt>
                <c:pt idx="50">
                  <c:v>42.45</c:v>
                </c:pt>
                <c:pt idx="51">
                  <c:v>36.4</c:v>
                </c:pt>
                <c:pt idx="52">
                  <c:v>36.5</c:v>
                </c:pt>
                <c:pt idx="53">
                  <c:v>29.15</c:v>
                </c:pt>
                <c:pt idx="54">
                  <c:v>34</c:v>
                </c:pt>
                <c:pt idx="55">
                  <c:v>33.200000000000003</c:v>
                </c:pt>
                <c:pt idx="56">
                  <c:v>31.2</c:v>
                </c:pt>
                <c:pt idx="57">
                  <c:v>41.05</c:v>
                </c:pt>
                <c:pt idx="58">
                  <c:v>40.099999999999994</c:v>
                </c:pt>
                <c:pt idx="59">
                  <c:v>39.1</c:v>
                </c:pt>
                <c:pt idx="60">
                  <c:v>28.05</c:v>
                </c:pt>
                <c:pt idx="61">
                  <c:v>42.45</c:v>
                </c:pt>
                <c:pt idx="62">
                  <c:v>36.4</c:v>
                </c:pt>
                <c:pt idx="63">
                  <c:v>36.25</c:v>
                </c:pt>
                <c:pt idx="64">
                  <c:v>29.15</c:v>
                </c:pt>
                <c:pt idx="65">
                  <c:v>33.950000000000003</c:v>
                </c:pt>
                <c:pt idx="66">
                  <c:v>33.549999999999997</c:v>
                </c:pt>
                <c:pt idx="67">
                  <c:v>31.2</c:v>
                </c:pt>
                <c:pt idx="68">
                  <c:v>41.05</c:v>
                </c:pt>
                <c:pt idx="69">
                  <c:v>40.299999999999997</c:v>
                </c:pt>
                <c:pt idx="70">
                  <c:v>39.299999999999997</c:v>
                </c:pt>
                <c:pt idx="71">
                  <c:v>28.05</c:v>
                </c:pt>
                <c:pt idx="72">
                  <c:v>42.25</c:v>
                </c:pt>
                <c:pt idx="73">
                  <c:v>36.4</c:v>
                </c:pt>
                <c:pt idx="74">
                  <c:v>36</c:v>
                </c:pt>
                <c:pt idx="75">
                  <c:v>30.25</c:v>
                </c:pt>
                <c:pt idx="76">
                  <c:v>33.950000000000003</c:v>
                </c:pt>
                <c:pt idx="77">
                  <c:v>33.549999999999997</c:v>
                </c:pt>
                <c:pt idx="78">
                  <c:v>31.2</c:v>
                </c:pt>
                <c:pt idx="79">
                  <c:v>41.05</c:v>
                </c:pt>
                <c:pt idx="80">
                  <c:v>40.299999999999997</c:v>
                </c:pt>
                <c:pt idx="81">
                  <c:v>38.900000000000006</c:v>
                </c:pt>
                <c:pt idx="82">
                  <c:v>28.05</c:v>
                </c:pt>
                <c:pt idx="83">
                  <c:v>41.3</c:v>
                </c:pt>
                <c:pt idx="84">
                  <c:v>36.5</c:v>
                </c:pt>
                <c:pt idx="85">
                  <c:v>36.25</c:v>
                </c:pt>
                <c:pt idx="86">
                  <c:v>29.700000000000003</c:v>
                </c:pt>
                <c:pt idx="87">
                  <c:v>33.950000000000003</c:v>
                </c:pt>
                <c:pt idx="88">
                  <c:v>33.549999999999997</c:v>
                </c:pt>
                <c:pt idx="89">
                  <c:v>31.6</c:v>
                </c:pt>
                <c:pt idx="90">
                  <c:v>41.2</c:v>
                </c:pt>
                <c:pt idx="91">
                  <c:v>40.299999999999997</c:v>
                </c:pt>
                <c:pt idx="92">
                  <c:v>39.1</c:v>
                </c:pt>
                <c:pt idx="93">
                  <c:v>28.05</c:v>
                </c:pt>
                <c:pt idx="94">
                  <c:v>42.1</c:v>
                </c:pt>
                <c:pt idx="95">
                  <c:v>36.5</c:v>
                </c:pt>
                <c:pt idx="96">
                  <c:v>36.25</c:v>
                </c:pt>
                <c:pt idx="97">
                  <c:v>29.700000000000003</c:v>
                </c:pt>
                <c:pt idx="98">
                  <c:v>34</c:v>
                </c:pt>
                <c:pt idx="99">
                  <c:v>33.200000000000003</c:v>
                </c:pt>
                <c:pt idx="100">
                  <c:v>31.2</c:v>
                </c:pt>
                <c:pt idx="101">
                  <c:v>41.2</c:v>
                </c:pt>
                <c:pt idx="102">
                  <c:v>40.5</c:v>
                </c:pt>
                <c:pt idx="103">
                  <c:v>39.299999999999997</c:v>
                </c:pt>
                <c:pt idx="104">
                  <c:v>28.05</c:v>
                </c:pt>
                <c:pt idx="105">
                  <c:v>42.3</c:v>
                </c:pt>
                <c:pt idx="106">
                  <c:v>36.6</c:v>
                </c:pt>
                <c:pt idx="107">
                  <c:v>36.5</c:v>
                </c:pt>
                <c:pt idx="108">
                  <c:v>29.700000000000003</c:v>
                </c:pt>
                <c:pt idx="109">
                  <c:v>33.950000000000003</c:v>
                </c:pt>
                <c:pt idx="110">
                  <c:v>32.85</c:v>
                </c:pt>
                <c:pt idx="111">
                  <c:v>31.2</c:v>
                </c:pt>
                <c:pt idx="112">
                  <c:v>41.05</c:v>
                </c:pt>
                <c:pt idx="113">
                  <c:v>40.299999999999997</c:v>
                </c:pt>
                <c:pt idx="114">
                  <c:v>39.1</c:v>
                </c:pt>
                <c:pt idx="115">
                  <c:v>28.05</c:v>
                </c:pt>
                <c:pt idx="116">
                  <c:v>41.45</c:v>
                </c:pt>
                <c:pt idx="117">
                  <c:v>36.599999999999994</c:v>
                </c:pt>
                <c:pt idx="118">
                  <c:v>36.25</c:v>
                </c:pt>
                <c:pt idx="119">
                  <c:v>29.15</c:v>
                </c:pt>
                <c:pt idx="120">
                  <c:v>33.9</c:v>
                </c:pt>
                <c:pt idx="121">
                  <c:v>33.200000000000003</c:v>
                </c:pt>
                <c:pt idx="122">
                  <c:v>31.2</c:v>
                </c:pt>
                <c:pt idx="123">
                  <c:v>41.05</c:v>
                </c:pt>
                <c:pt idx="124">
                  <c:v>40.299999999999997</c:v>
                </c:pt>
                <c:pt idx="125">
                  <c:v>39.1</c:v>
                </c:pt>
                <c:pt idx="126">
                  <c:v>28.05</c:v>
                </c:pt>
                <c:pt idx="127">
                  <c:v>42.45</c:v>
                </c:pt>
                <c:pt idx="128">
                  <c:v>36.599999999999994</c:v>
                </c:pt>
                <c:pt idx="129">
                  <c:v>36</c:v>
                </c:pt>
                <c:pt idx="130">
                  <c:v>30.25</c:v>
                </c:pt>
                <c:pt idx="131">
                  <c:v>33.950000000000003</c:v>
                </c:pt>
                <c:pt idx="132">
                  <c:v>33.200000000000003</c:v>
                </c:pt>
                <c:pt idx="133">
                  <c:v>31.2</c:v>
                </c:pt>
                <c:pt idx="134">
                  <c:v>41.05</c:v>
                </c:pt>
                <c:pt idx="135">
                  <c:v>40.099999999999994</c:v>
                </c:pt>
                <c:pt idx="136">
                  <c:v>38.950000000000003</c:v>
                </c:pt>
                <c:pt idx="137">
                  <c:v>27.3</c:v>
                </c:pt>
                <c:pt idx="138">
                  <c:v>42.45</c:v>
                </c:pt>
                <c:pt idx="139">
                  <c:v>36.4</c:v>
                </c:pt>
                <c:pt idx="140">
                  <c:v>36.25</c:v>
                </c:pt>
                <c:pt idx="141">
                  <c:v>29.15</c:v>
                </c:pt>
                <c:pt idx="142">
                  <c:v>33.950000000000003</c:v>
                </c:pt>
                <c:pt idx="143">
                  <c:v>32.85</c:v>
                </c:pt>
                <c:pt idx="144">
                  <c:v>31.2</c:v>
                </c:pt>
                <c:pt idx="145">
                  <c:v>41.2</c:v>
                </c:pt>
                <c:pt idx="146">
                  <c:v>40.5</c:v>
                </c:pt>
                <c:pt idx="147">
                  <c:v>39.1</c:v>
                </c:pt>
                <c:pt idx="148">
                  <c:v>28.05</c:v>
                </c:pt>
                <c:pt idx="149">
                  <c:v>42.650000000000006</c:v>
                </c:pt>
                <c:pt idx="150">
                  <c:v>36.700000000000003</c:v>
                </c:pt>
                <c:pt idx="151">
                  <c:v>36.25</c:v>
                </c:pt>
                <c:pt idx="152">
                  <c:v>30.25</c:v>
                </c:pt>
                <c:pt idx="153">
                  <c:v>33.950000000000003</c:v>
                </c:pt>
                <c:pt idx="154">
                  <c:v>33.200000000000003</c:v>
                </c:pt>
                <c:pt idx="155">
                  <c:v>31.2</c:v>
                </c:pt>
                <c:pt idx="156">
                  <c:v>41.05</c:v>
                </c:pt>
                <c:pt idx="157">
                  <c:v>40.299999999999997</c:v>
                </c:pt>
                <c:pt idx="158">
                  <c:v>39.1</c:v>
                </c:pt>
                <c:pt idx="159">
                  <c:v>28.05</c:v>
                </c:pt>
                <c:pt idx="160">
                  <c:v>41.05</c:v>
                </c:pt>
                <c:pt idx="161">
                  <c:v>36.700000000000003</c:v>
                </c:pt>
                <c:pt idx="162">
                  <c:v>36.5</c:v>
                </c:pt>
                <c:pt idx="163">
                  <c:v>29.700000000000003</c:v>
                </c:pt>
                <c:pt idx="164">
                  <c:v>33.950000000000003</c:v>
                </c:pt>
                <c:pt idx="165">
                  <c:v>33.200000000000003</c:v>
                </c:pt>
                <c:pt idx="166">
                  <c:v>31.2</c:v>
                </c:pt>
                <c:pt idx="167">
                  <c:v>41.05</c:v>
                </c:pt>
                <c:pt idx="168">
                  <c:v>40.099999999999994</c:v>
                </c:pt>
                <c:pt idx="169">
                  <c:v>39.1</c:v>
                </c:pt>
                <c:pt idx="170">
                  <c:v>28.05</c:v>
                </c:pt>
                <c:pt idx="171">
                  <c:v>42.75</c:v>
                </c:pt>
                <c:pt idx="172">
                  <c:v>36.25</c:v>
                </c:pt>
                <c:pt idx="173">
                  <c:v>36.25</c:v>
                </c:pt>
                <c:pt idx="174">
                  <c:v>28.6</c:v>
                </c:pt>
                <c:pt idx="175">
                  <c:v>33.950000000000003</c:v>
                </c:pt>
                <c:pt idx="176">
                  <c:v>33.200000000000003</c:v>
                </c:pt>
                <c:pt idx="177">
                  <c:v>31.6</c:v>
                </c:pt>
                <c:pt idx="178">
                  <c:v>41.05</c:v>
                </c:pt>
                <c:pt idx="179">
                  <c:v>40.299999999999997</c:v>
                </c:pt>
                <c:pt idx="180">
                  <c:v>39.299999999999997</c:v>
                </c:pt>
                <c:pt idx="181">
                  <c:v>28.05</c:v>
                </c:pt>
                <c:pt idx="182">
                  <c:v>41.8</c:v>
                </c:pt>
                <c:pt idx="183">
                  <c:v>36.4</c:v>
                </c:pt>
                <c:pt idx="184">
                  <c:v>36.5</c:v>
                </c:pt>
                <c:pt idx="185">
                  <c:v>29.700000000000003</c:v>
                </c:pt>
                <c:pt idx="186">
                  <c:v>33.950000000000003</c:v>
                </c:pt>
                <c:pt idx="187">
                  <c:v>33.200000000000003</c:v>
                </c:pt>
                <c:pt idx="188">
                  <c:v>30.799999999999997</c:v>
                </c:pt>
                <c:pt idx="189">
                  <c:v>40.950000000000003</c:v>
                </c:pt>
                <c:pt idx="190">
                  <c:v>40.099999999999994</c:v>
                </c:pt>
                <c:pt idx="191">
                  <c:v>39.1</c:v>
                </c:pt>
                <c:pt idx="192">
                  <c:v>28.05</c:v>
                </c:pt>
                <c:pt idx="193">
                  <c:v>42.3</c:v>
                </c:pt>
                <c:pt idx="194">
                  <c:v>36.5</c:v>
                </c:pt>
                <c:pt idx="195">
                  <c:v>36.25</c:v>
                </c:pt>
                <c:pt idx="196">
                  <c:v>29.15</c:v>
                </c:pt>
                <c:pt idx="197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6-41F1-9F0D-B9F26DA4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111247"/>
        <c:axId val="772118447"/>
      </c:scatterChart>
      <c:valAx>
        <c:axId val="77211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GC3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18447"/>
        <c:crosses val="autoZero"/>
        <c:crossBetween val="midCat"/>
      </c:valAx>
      <c:valAx>
        <c:axId val="7721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GC12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1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hRSV-A</a:t>
            </a:r>
            <a:r>
              <a:rPr lang="en-US" b="1" baseline="0"/>
              <a:t> Neutrality Plot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'hRSV-A (N PLOT)'!$K$1</c:f>
              <c:strCache>
                <c:ptCount val="1"/>
                <c:pt idx="0">
                  <c:v>GC12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9425391387031802E-3"/>
                  <c:y val="-0.12253875073024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'hRSV-A (N PLOT)'!$I$2:$I$199</c:f>
              <c:numCache>
                <c:formatCode>General</c:formatCode>
                <c:ptCount val="198"/>
                <c:pt idx="0">
                  <c:v>29.3</c:v>
                </c:pt>
                <c:pt idx="1">
                  <c:v>36.799999999999997</c:v>
                </c:pt>
                <c:pt idx="2">
                  <c:v>29.8</c:v>
                </c:pt>
                <c:pt idx="3">
                  <c:v>26.9</c:v>
                </c:pt>
                <c:pt idx="4">
                  <c:v>33.1</c:v>
                </c:pt>
                <c:pt idx="5">
                  <c:v>38.5</c:v>
                </c:pt>
                <c:pt idx="6">
                  <c:v>44.4</c:v>
                </c:pt>
                <c:pt idx="7">
                  <c:v>31</c:v>
                </c:pt>
                <c:pt idx="8">
                  <c:v>34.4</c:v>
                </c:pt>
                <c:pt idx="9">
                  <c:v>23.6</c:v>
                </c:pt>
                <c:pt idx="10">
                  <c:v>25.9</c:v>
                </c:pt>
                <c:pt idx="11">
                  <c:v>27.1</c:v>
                </c:pt>
                <c:pt idx="12">
                  <c:v>35.200000000000003</c:v>
                </c:pt>
                <c:pt idx="13">
                  <c:v>29.3</c:v>
                </c:pt>
                <c:pt idx="14">
                  <c:v>27.3</c:v>
                </c:pt>
                <c:pt idx="15">
                  <c:v>33.5</c:v>
                </c:pt>
                <c:pt idx="16">
                  <c:v>40</c:v>
                </c:pt>
                <c:pt idx="17">
                  <c:v>46.1</c:v>
                </c:pt>
                <c:pt idx="18">
                  <c:v>30.6</c:v>
                </c:pt>
                <c:pt idx="19">
                  <c:v>35.4</c:v>
                </c:pt>
                <c:pt idx="20">
                  <c:v>23.6</c:v>
                </c:pt>
                <c:pt idx="21">
                  <c:v>25.6</c:v>
                </c:pt>
                <c:pt idx="22">
                  <c:v>30.7</c:v>
                </c:pt>
                <c:pt idx="23">
                  <c:v>33.6</c:v>
                </c:pt>
                <c:pt idx="24">
                  <c:v>28.8</c:v>
                </c:pt>
                <c:pt idx="25">
                  <c:v>28.9</c:v>
                </c:pt>
                <c:pt idx="26">
                  <c:v>32.700000000000003</c:v>
                </c:pt>
                <c:pt idx="27">
                  <c:v>36.9</c:v>
                </c:pt>
                <c:pt idx="28">
                  <c:v>43.8</c:v>
                </c:pt>
                <c:pt idx="29">
                  <c:v>29.9</c:v>
                </c:pt>
                <c:pt idx="30">
                  <c:v>32.299999999999997</c:v>
                </c:pt>
                <c:pt idx="31">
                  <c:v>21.3</c:v>
                </c:pt>
                <c:pt idx="32">
                  <c:v>25.5</c:v>
                </c:pt>
                <c:pt idx="33">
                  <c:v>26.4</c:v>
                </c:pt>
                <c:pt idx="34">
                  <c:v>36</c:v>
                </c:pt>
                <c:pt idx="35">
                  <c:v>29.3</c:v>
                </c:pt>
                <c:pt idx="36">
                  <c:v>28.1</c:v>
                </c:pt>
                <c:pt idx="37">
                  <c:v>33.1</c:v>
                </c:pt>
                <c:pt idx="38">
                  <c:v>40</c:v>
                </c:pt>
                <c:pt idx="39">
                  <c:v>45.3</c:v>
                </c:pt>
                <c:pt idx="40">
                  <c:v>30.1</c:v>
                </c:pt>
                <c:pt idx="41">
                  <c:v>35.4</c:v>
                </c:pt>
                <c:pt idx="42">
                  <c:v>23.6</c:v>
                </c:pt>
                <c:pt idx="43">
                  <c:v>26</c:v>
                </c:pt>
                <c:pt idx="44">
                  <c:v>27.1</c:v>
                </c:pt>
                <c:pt idx="45">
                  <c:v>35.200000000000003</c:v>
                </c:pt>
                <c:pt idx="46">
                  <c:v>28.6</c:v>
                </c:pt>
                <c:pt idx="47">
                  <c:v>27.3</c:v>
                </c:pt>
                <c:pt idx="48">
                  <c:v>31.5</c:v>
                </c:pt>
                <c:pt idx="49">
                  <c:v>38.5</c:v>
                </c:pt>
                <c:pt idx="50">
                  <c:v>45.3</c:v>
                </c:pt>
                <c:pt idx="51">
                  <c:v>30.6</c:v>
                </c:pt>
                <c:pt idx="52">
                  <c:v>35.4</c:v>
                </c:pt>
                <c:pt idx="53">
                  <c:v>22.5</c:v>
                </c:pt>
                <c:pt idx="54">
                  <c:v>25.3</c:v>
                </c:pt>
                <c:pt idx="55">
                  <c:v>27.9</c:v>
                </c:pt>
                <c:pt idx="56">
                  <c:v>35.200000000000003</c:v>
                </c:pt>
                <c:pt idx="57">
                  <c:v>28.6</c:v>
                </c:pt>
                <c:pt idx="58">
                  <c:v>26.4</c:v>
                </c:pt>
                <c:pt idx="59">
                  <c:v>32.299999999999997</c:v>
                </c:pt>
                <c:pt idx="60">
                  <c:v>40</c:v>
                </c:pt>
                <c:pt idx="61">
                  <c:v>44.6</c:v>
                </c:pt>
                <c:pt idx="62">
                  <c:v>31.1</c:v>
                </c:pt>
                <c:pt idx="63">
                  <c:v>35.9</c:v>
                </c:pt>
                <c:pt idx="64">
                  <c:v>24.7</c:v>
                </c:pt>
                <c:pt idx="65">
                  <c:v>25.3</c:v>
                </c:pt>
                <c:pt idx="66">
                  <c:v>27.1</c:v>
                </c:pt>
                <c:pt idx="67">
                  <c:v>36</c:v>
                </c:pt>
                <c:pt idx="68">
                  <c:v>28.6</c:v>
                </c:pt>
                <c:pt idx="69">
                  <c:v>27.7</c:v>
                </c:pt>
                <c:pt idx="70">
                  <c:v>32.299999999999997</c:v>
                </c:pt>
                <c:pt idx="71">
                  <c:v>38.5</c:v>
                </c:pt>
                <c:pt idx="72">
                  <c:v>45</c:v>
                </c:pt>
                <c:pt idx="73">
                  <c:v>31.1</c:v>
                </c:pt>
                <c:pt idx="74">
                  <c:v>35.4</c:v>
                </c:pt>
                <c:pt idx="75">
                  <c:v>23.6</c:v>
                </c:pt>
                <c:pt idx="76">
                  <c:v>25.4</c:v>
                </c:pt>
                <c:pt idx="77">
                  <c:v>26.4</c:v>
                </c:pt>
                <c:pt idx="78">
                  <c:v>36</c:v>
                </c:pt>
                <c:pt idx="79">
                  <c:v>28.6</c:v>
                </c:pt>
                <c:pt idx="80">
                  <c:v>27.7</c:v>
                </c:pt>
                <c:pt idx="81">
                  <c:v>32.299999999999997</c:v>
                </c:pt>
                <c:pt idx="82">
                  <c:v>40</c:v>
                </c:pt>
                <c:pt idx="83">
                  <c:v>45.7</c:v>
                </c:pt>
                <c:pt idx="84">
                  <c:v>31</c:v>
                </c:pt>
                <c:pt idx="85">
                  <c:v>33.799999999999997</c:v>
                </c:pt>
                <c:pt idx="86">
                  <c:v>23.6</c:v>
                </c:pt>
                <c:pt idx="87">
                  <c:v>25.8</c:v>
                </c:pt>
                <c:pt idx="88">
                  <c:v>27.9</c:v>
                </c:pt>
                <c:pt idx="89">
                  <c:v>37.6</c:v>
                </c:pt>
                <c:pt idx="90">
                  <c:v>29.1</c:v>
                </c:pt>
                <c:pt idx="91">
                  <c:v>27.3</c:v>
                </c:pt>
                <c:pt idx="92">
                  <c:v>32.700000000000003</c:v>
                </c:pt>
                <c:pt idx="93">
                  <c:v>36.9</c:v>
                </c:pt>
                <c:pt idx="94">
                  <c:v>45.3</c:v>
                </c:pt>
                <c:pt idx="95">
                  <c:v>31</c:v>
                </c:pt>
                <c:pt idx="96">
                  <c:v>34.9</c:v>
                </c:pt>
                <c:pt idx="97">
                  <c:v>22.5</c:v>
                </c:pt>
                <c:pt idx="98">
                  <c:v>25.2</c:v>
                </c:pt>
                <c:pt idx="99">
                  <c:v>27.9</c:v>
                </c:pt>
                <c:pt idx="100">
                  <c:v>34.4</c:v>
                </c:pt>
                <c:pt idx="101">
                  <c:v>29.3</c:v>
                </c:pt>
                <c:pt idx="102">
                  <c:v>27.7</c:v>
                </c:pt>
                <c:pt idx="103">
                  <c:v>32.700000000000003</c:v>
                </c:pt>
                <c:pt idx="104">
                  <c:v>38.5</c:v>
                </c:pt>
                <c:pt idx="105">
                  <c:v>45.8</c:v>
                </c:pt>
                <c:pt idx="106">
                  <c:v>30.6</c:v>
                </c:pt>
                <c:pt idx="107">
                  <c:v>36.4</c:v>
                </c:pt>
                <c:pt idx="108">
                  <c:v>24.7</c:v>
                </c:pt>
                <c:pt idx="109">
                  <c:v>25</c:v>
                </c:pt>
                <c:pt idx="110">
                  <c:v>26.4</c:v>
                </c:pt>
                <c:pt idx="111">
                  <c:v>35.200000000000003</c:v>
                </c:pt>
                <c:pt idx="112">
                  <c:v>29.6</c:v>
                </c:pt>
                <c:pt idx="113">
                  <c:v>26</c:v>
                </c:pt>
                <c:pt idx="114">
                  <c:v>32.700000000000003</c:v>
                </c:pt>
                <c:pt idx="115">
                  <c:v>40</c:v>
                </c:pt>
                <c:pt idx="116">
                  <c:v>45</c:v>
                </c:pt>
                <c:pt idx="117">
                  <c:v>30.6</c:v>
                </c:pt>
                <c:pt idx="118">
                  <c:v>35.4</c:v>
                </c:pt>
                <c:pt idx="119">
                  <c:v>23.6</c:v>
                </c:pt>
                <c:pt idx="120">
                  <c:v>25.9</c:v>
                </c:pt>
                <c:pt idx="121">
                  <c:v>28.6</c:v>
                </c:pt>
                <c:pt idx="122">
                  <c:v>34.4</c:v>
                </c:pt>
                <c:pt idx="123">
                  <c:v>29.6</c:v>
                </c:pt>
                <c:pt idx="124">
                  <c:v>26.4</c:v>
                </c:pt>
                <c:pt idx="125">
                  <c:v>31.9</c:v>
                </c:pt>
                <c:pt idx="126">
                  <c:v>40</c:v>
                </c:pt>
                <c:pt idx="127">
                  <c:v>43.2</c:v>
                </c:pt>
                <c:pt idx="128">
                  <c:v>30.6</c:v>
                </c:pt>
                <c:pt idx="129">
                  <c:v>35.4</c:v>
                </c:pt>
                <c:pt idx="130">
                  <c:v>23.6</c:v>
                </c:pt>
                <c:pt idx="131">
                  <c:v>25.3</c:v>
                </c:pt>
                <c:pt idx="132">
                  <c:v>27.9</c:v>
                </c:pt>
                <c:pt idx="133">
                  <c:v>37.6</c:v>
                </c:pt>
                <c:pt idx="134">
                  <c:v>29.1</c:v>
                </c:pt>
                <c:pt idx="135">
                  <c:v>27.3</c:v>
                </c:pt>
                <c:pt idx="136">
                  <c:v>32.700000000000003</c:v>
                </c:pt>
                <c:pt idx="137">
                  <c:v>36.9</c:v>
                </c:pt>
                <c:pt idx="138">
                  <c:v>44.7</c:v>
                </c:pt>
                <c:pt idx="139">
                  <c:v>31</c:v>
                </c:pt>
                <c:pt idx="140">
                  <c:v>34.4</c:v>
                </c:pt>
                <c:pt idx="141">
                  <c:v>23.6</c:v>
                </c:pt>
                <c:pt idx="142">
                  <c:v>25.1</c:v>
                </c:pt>
                <c:pt idx="143">
                  <c:v>27.1</c:v>
                </c:pt>
                <c:pt idx="144">
                  <c:v>36</c:v>
                </c:pt>
                <c:pt idx="145">
                  <c:v>29.6</c:v>
                </c:pt>
                <c:pt idx="146">
                  <c:v>26.9</c:v>
                </c:pt>
                <c:pt idx="147">
                  <c:v>32.700000000000003</c:v>
                </c:pt>
                <c:pt idx="148">
                  <c:v>38.5</c:v>
                </c:pt>
                <c:pt idx="149">
                  <c:v>45.3</c:v>
                </c:pt>
                <c:pt idx="150">
                  <c:v>30.6</c:v>
                </c:pt>
                <c:pt idx="151">
                  <c:v>35.4</c:v>
                </c:pt>
                <c:pt idx="152">
                  <c:v>23.6</c:v>
                </c:pt>
                <c:pt idx="153">
                  <c:v>25.6</c:v>
                </c:pt>
                <c:pt idx="154">
                  <c:v>27.1</c:v>
                </c:pt>
                <c:pt idx="155">
                  <c:v>35.200000000000003</c:v>
                </c:pt>
                <c:pt idx="156">
                  <c:v>28.3</c:v>
                </c:pt>
                <c:pt idx="157">
                  <c:v>28.1</c:v>
                </c:pt>
                <c:pt idx="158">
                  <c:v>32.299999999999997</c:v>
                </c:pt>
                <c:pt idx="159">
                  <c:v>38.5</c:v>
                </c:pt>
                <c:pt idx="160">
                  <c:v>43</c:v>
                </c:pt>
                <c:pt idx="161">
                  <c:v>31.7</c:v>
                </c:pt>
                <c:pt idx="162">
                  <c:v>35.4</c:v>
                </c:pt>
                <c:pt idx="163">
                  <c:v>25.8</c:v>
                </c:pt>
                <c:pt idx="164">
                  <c:v>25.2</c:v>
                </c:pt>
                <c:pt idx="165">
                  <c:v>27.9</c:v>
                </c:pt>
                <c:pt idx="166">
                  <c:v>33.6</c:v>
                </c:pt>
                <c:pt idx="167">
                  <c:v>28.1</c:v>
                </c:pt>
                <c:pt idx="168">
                  <c:v>26.9</c:v>
                </c:pt>
                <c:pt idx="169">
                  <c:v>31.9</c:v>
                </c:pt>
                <c:pt idx="170">
                  <c:v>41.5</c:v>
                </c:pt>
                <c:pt idx="171">
                  <c:v>45.3</c:v>
                </c:pt>
                <c:pt idx="172">
                  <c:v>31</c:v>
                </c:pt>
                <c:pt idx="173">
                  <c:v>35.9</c:v>
                </c:pt>
                <c:pt idx="174">
                  <c:v>22.5</c:v>
                </c:pt>
                <c:pt idx="175">
                  <c:v>25.8</c:v>
                </c:pt>
                <c:pt idx="176">
                  <c:v>27.1</c:v>
                </c:pt>
                <c:pt idx="177">
                  <c:v>36</c:v>
                </c:pt>
                <c:pt idx="178">
                  <c:v>28.8</c:v>
                </c:pt>
                <c:pt idx="179">
                  <c:v>28.5</c:v>
                </c:pt>
                <c:pt idx="180">
                  <c:v>31.1</c:v>
                </c:pt>
                <c:pt idx="181">
                  <c:v>40</c:v>
                </c:pt>
                <c:pt idx="182">
                  <c:v>45</c:v>
                </c:pt>
                <c:pt idx="183">
                  <c:v>31</c:v>
                </c:pt>
                <c:pt idx="184">
                  <c:v>35.9</c:v>
                </c:pt>
                <c:pt idx="185">
                  <c:v>23.6</c:v>
                </c:pt>
                <c:pt idx="186">
                  <c:v>25.3</c:v>
                </c:pt>
                <c:pt idx="187">
                  <c:v>27.9</c:v>
                </c:pt>
                <c:pt idx="188">
                  <c:v>37.6</c:v>
                </c:pt>
                <c:pt idx="189">
                  <c:v>29.3</c:v>
                </c:pt>
                <c:pt idx="190">
                  <c:v>26.9</c:v>
                </c:pt>
                <c:pt idx="191">
                  <c:v>32.299999999999997</c:v>
                </c:pt>
                <c:pt idx="192">
                  <c:v>36.9</c:v>
                </c:pt>
                <c:pt idx="193">
                  <c:v>44.7</c:v>
                </c:pt>
                <c:pt idx="194">
                  <c:v>30.8</c:v>
                </c:pt>
                <c:pt idx="195">
                  <c:v>34.9</c:v>
                </c:pt>
                <c:pt idx="196">
                  <c:v>23.6</c:v>
                </c:pt>
                <c:pt idx="197">
                  <c:v>25</c:v>
                </c:pt>
              </c:numCache>
            </c:numRef>
          </c:xVal>
          <c:yVal>
            <c:numRef>
              <c:f>'hRSV-A (N PLOT)'!$K$2:$K$199</c:f>
              <c:numCache>
                <c:formatCode>General</c:formatCode>
                <c:ptCount val="198"/>
                <c:pt idx="0">
                  <c:v>32.5</c:v>
                </c:pt>
                <c:pt idx="1">
                  <c:v>33.200000000000003</c:v>
                </c:pt>
                <c:pt idx="2">
                  <c:v>40.950000000000003</c:v>
                </c:pt>
                <c:pt idx="3">
                  <c:v>39.450000000000003</c:v>
                </c:pt>
                <c:pt idx="4">
                  <c:v>38.700000000000003</c:v>
                </c:pt>
                <c:pt idx="5">
                  <c:v>28.5</c:v>
                </c:pt>
                <c:pt idx="6">
                  <c:v>42.400000000000006</c:v>
                </c:pt>
                <c:pt idx="7">
                  <c:v>37.5</c:v>
                </c:pt>
                <c:pt idx="8">
                  <c:v>37.700000000000003</c:v>
                </c:pt>
                <c:pt idx="9">
                  <c:v>31.5</c:v>
                </c:pt>
                <c:pt idx="10">
                  <c:v>33.4</c:v>
                </c:pt>
                <c:pt idx="11">
                  <c:v>32.15</c:v>
                </c:pt>
                <c:pt idx="12">
                  <c:v>32.799999999999997</c:v>
                </c:pt>
                <c:pt idx="13">
                  <c:v>40.799999999999997</c:v>
                </c:pt>
                <c:pt idx="14">
                  <c:v>39.85</c:v>
                </c:pt>
                <c:pt idx="15">
                  <c:v>38.700000000000003</c:v>
                </c:pt>
                <c:pt idx="16">
                  <c:v>29.25</c:v>
                </c:pt>
                <c:pt idx="17">
                  <c:v>44.1</c:v>
                </c:pt>
                <c:pt idx="18">
                  <c:v>37.5</c:v>
                </c:pt>
                <c:pt idx="19">
                  <c:v>36.950000000000003</c:v>
                </c:pt>
                <c:pt idx="20">
                  <c:v>30.9</c:v>
                </c:pt>
                <c:pt idx="21">
                  <c:v>33.549999999999997</c:v>
                </c:pt>
                <c:pt idx="22">
                  <c:v>31.799999999999997</c:v>
                </c:pt>
                <c:pt idx="23">
                  <c:v>34</c:v>
                </c:pt>
                <c:pt idx="24">
                  <c:v>41.45</c:v>
                </c:pt>
                <c:pt idx="25">
                  <c:v>39.9</c:v>
                </c:pt>
                <c:pt idx="26">
                  <c:v>38.35</c:v>
                </c:pt>
                <c:pt idx="27">
                  <c:v>29.25</c:v>
                </c:pt>
                <c:pt idx="28">
                  <c:v>40.950000000000003</c:v>
                </c:pt>
                <c:pt idx="29">
                  <c:v>36.950000000000003</c:v>
                </c:pt>
                <c:pt idx="30">
                  <c:v>36.700000000000003</c:v>
                </c:pt>
                <c:pt idx="31">
                  <c:v>30.900000000000002</c:v>
                </c:pt>
                <c:pt idx="32">
                  <c:v>33.35</c:v>
                </c:pt>
                <c:pt idx="33">
                  <c:v>32.15</c:v>
                </c:pt>
                <c:pt idx="34">
                  <c:v>33.200000000000003</c:v>
                </c:pt>
                <c:pt idx="35">
                  <c:v>40.950000000000003</c:v>
                </c:pt>
                <c:pt idx="36">
                  <c:v>39.85</c:v>
                </c:pt>
                <c:pt idx="37">
                  <c:v>38.700000000000003</c:v>
                </c:pt>
                <c:pt idx="38">
                  <c:v>28.5</c:v>
                </c:pt>
                <c:pt idx="39">
                  <c:v>42.4</c:v>
                </c:pt>
                <c:pt idx="40">
                  <c:v>37.650000000000006</c:v>
                </c:pt>
                <c:pt idx="41">
                  <c:v>36.950000000000003</c:v>
                </c:pt>
                <c:pt idx="42">
                  <c:v>31.5</c:v>
                </c:pt>
                <c:pt idx="43">
                  <c:v>33.5</c:v>
                </c:pt>
                <c:pt idx="44">
                  <c:v>32.15</c:v>
                </c:pt>
                <c:pt idx="45">
                  <c:v>33.200000000000003</c:v>
                </c:pt>
                <c:pt idx="46">
                  <c:v>40.799999999999997</c:v>
                </c:pt>
                <c:pt idx="47">
                  <c:v>39.650000000000006</c:v>
                </c:pt>
                <c:pt idx="48">
                  <c:v>38.549999999999997</c:v>
                </c:pt>
                <c:pt idx="49">
                  <c:v>27.700000000000003</c:v>
                </c:pt>
                <c:pt idx="50">
                  <c:v>41.599999999999994</c:v>
                </c:pt>
                <c:pt idx="51">
                  <c:v>37.5</c:v>
                </c:pt>
                <c:pt idx="52">
                  <c:v>36.950000000000003</c:v>
                </c:pt>
                <c:pt idx="53">
                  <c:v>32.049999999999997</c:v>
                </c:pt>
                <c:pt idx="54">
                  <c:v>33.4</c:v>
                </c:pt>
                <c:pt idx="55">
                  <c:v>32.15</c:v>
                </c:pt>
                <c:pt idx="56">
                  <c:v>33.200000000000003</c:v>
                </c:pt>
                <c:pt idx="57">
                  <c:v>40.950000000000003</c:v>
                </c:pt>
                <c:pt idx="58">
                  <c:v>39.85</c:v>
                </c:pt>
                <c:pt idx="59">
                  <c:v>38.75</c:v>
                </c:pt>
                <c:pt idx="60">
                  <c:v>28.5</c:v>
                </c:pt>
                <c:pt idx="61">
                  <c:v>41.3</c:v>
                </c:pt>
                <c:pt idx="62">
                  <c:v>37.400000000000006</c:v>
                </c:pt>
                <c:pt idx="63">
                  <c:v>36.950000000000003</c:v>
                </c:pt>
                <c:pt idx="64">
                  <c:v>31.5</c:v>
                </c:pt>
                <c:pt idx="65">
                  <c:v>33.4</c:v>
                </c:pt>
                <c:pt idx="66">
                  <c:v>32.15</c:v>
                </c:pt>
                <c:pt idx="67">
                  <c:v>33.200000000000003</c:v>
                </c:pt>
                <c:pt idx="68">
                  <c:v>40.799999999999997</c:v>
                </c:pt>
                <c:pt idx="69">
                  <c:v>39.85</c:v>
                </c:pt>
                <c:pt idx="70">
                  <c:v>38.700000000000003</c:v>
                </c:pt>
                <c:pt idx="71">
                  <c:v>28.5</c:v>
                </c:pt>
                <c:pt idx="72">
                  <c:v>42.1</c:v>
                </c:pt>
                <c:pt idx="73">
                  <c:v>37.6</c:v>
                </c:pt>
                <c:pt idx="74">
                  <c:v>36.950000000000003</c:v>
                </c:pt>
                <c:pt idx="75">
                  <c:v>31.5</c:v>
                </c:pt>
                <c:pt idx="76">
                  <c:v>33.4</c:v>
                </c:pt>
                <c:pt idx="77">
                  <c:v>32.15</c:v>
                </c:pt>
                <c:pt idx="78">
                  <c:v>33.200000000000003</c:v>
                </c:pt>
                <c:pt idx="79">
                  <c:v>40.799999999999997</c:v>
                </c:pt>
                <c:pt idx="80">
                  <c:v>39.85</c:v>
                </c:pt>
                <c:pt idx="81">
                  <c:v>38.700000000000003</c:v>
                </c:pt>
                <c:pt idx="82">
                  <c:v>28.5</c:v>
                </c:pt>
                <c:pt idx="83">
                  <c:v>42.25</c:v>
                </c:pt>
                <c:pt idx="84">
                  <c:v>37.75</c:v>
                </c:pt>
                <c:pt idx="85">
                  <c:v>36.700000000000003</c:v>
                </c:pt>
                <c:pt idx="86">
                  <c:v>31.5</c:v>
                </c:pt>
                <c:pt idx="87">
                  <c:v>33.5</c:v>
                </c:pt>
                <c:pt idx="88">
                  <c:v>32.15</c:v>
                </c:pt>
                <c:pt idx="89">
                  <c:v>33.200000000000003</c:v>
                </c:pt>
                <c:pt idx="90">
                  <c:v>40.950000000000003</c:v>
                </c:pt>
                <c:pt idx="91">
                  <c:v>39.650000000000006</c:v>
                </c:pt>
                <c:pt idx="92">
                  <c:v>38.900000000000006</c:v>
                </c:pt>
                <c:pt idx="93">
                  <c:v>28.5</c:v>
                </c:pt>
                <c:pt idx="94">
                  <c:v>42.25</c:v>
                </c:pt>
                <c:pt idx="95">
                  <c:v>37.5</c:v>
                </c:pt>
                <c:pt idx="96">
                  <c:v>37.200000000000003</c:v>
                </c:pt>
                <c:pt idx="97">
                  <c:v>30.9</c:v>
                </c:pt>
                <c:pt idx="98">
                  <c:v>33.450000000000003</c:v>
                </c:pt>
                <c:pt idx="99">
                  <c:v>32.15</c:v>
                </c:pt>
                <c:pt idx="100">
                  <c:v>33.200000000000003</c:v>
                </c:pt>
                <c:pt idx="101">
                  <c:v>40.799999999999997</c:v>
                </c:pt>
                <c:pt idx="102">
                  <c:v>39.85</c:v>
                </c:pt>
                <c:pt idx="103">
                  <c:v>38.700000000000003</c:v>
                </c:pt>
                <c:pt idx="104">
                  <c:v>28.5</c:v>
                </c:pt>
                <c:pt idx="105">
                  <c:v>40.950000000000003</c:v>
                </c:pt>
                <c:pt idx="106">
                  <c:v>37.299999999999997</c:v>
                </c:pt>
                <c:pt idx="107">
                  <c:v>36.950000000000003</c:v>
                </c:pt>
                <c:pt idx="108">
                  <c:v>32.049999999999997</c:v>
                </c:pt>
                <c:pt idx="109">
                  <c:v>33.299999999999997</c:v>
                </c:pt>
                <c:pt idx="110">
                  <c:v>31.799999999999997</c:v>
                </c:pt>
                <c:pt idx="111">
                  <c:v>33.200000000000003</c:v>
                </c:pt>
                <c:pt idx="112">
                  <c:v>40.799999999999997</c:v>
                </c:pt>
                <c:pt idx="113">
                  <c:v>39.650000000000006</c:v>
                </c:pt>
                <c:pt idx="114">
                  <c:v>38.700000000000003</c:v>
                </c:pt>
                <c:pt idx="115">
                  <c:v>28.5</c:v>
                </c:pt>
                <c:pt idx="116">
                  <c:v>40.6</c:v>
                </c:pt>
                <c:pt idx="117">
                  <c:v>37.5</c:v>
                </c:pt>
                <c:pt idx="118">
                  <c:v>36.950000000000003</c:v>
                </c:pt>
                <c:pt idx="119">
                  <c:v>31.450000000000003</c:v>
                </c:pt>
                <c:pt idx="120">
                  <c:v>33.5</c:v>
                </c:pt>
                <c:pt idx="121">
                  <c:v>32.15</c:v>
                </c:pt>
                <c:pt idx="122">
                  <c:v>33.200000000000003</c:v>
                </c:pt>
                <c:pt idx="123">
                  <c:v>40.799999999999997</c:v>
                </c:pt>
                <c:pt idx="124">
                  <c:v>39.85</c:v>
                </c:pt>
                <c:pt idx="125">
                  <c:v>38.5</c:v>
                </c:pt>
                <c:pt idx="126">
                  <c:v>29.25</c:v>
                </c:pt>
                <c:pt idx="127">
                  <c:v>41.5</c:v>
                </c:pt>
                <c:pt idx="128">
                  <c:v>37.400000000000006</c:v>
                </c:pt>
                <c:pt idx="129">
                  <c:v>36.950000000000003</c:v>
                </c:pt>
                <c:pt idx="130">
                  <c:v>32.049999999999997</c:v>
                </c:pt>
                <c:pt idx="131">
                  <c:v>33.4</c:v>
                </c:pt>
                <c:pt idx="132">
                  <c:v>32.15</c:v>
                </c:pt>
                <c:pt idx="133">
                  <c:v>33.200000000000003</c:v>
                </c:pt>
                <c:pt idx="134">
                  <c:v>40.799999999999997</c:v>
                </c:pt>
                <c:pt idx="135">
                  <c:v>39.650000000000006</c:v>
                </c:pt>
                <c:pt idx="136">
                  <c:v>38.900000000000006</c:v>
                </c:pt>
                <c:pt idx="137">
                  <c:v>28.5</c:v>
                </c:pt>
                <c:pt idx="138">
                  <c:v>41.95</c:v>
                </c:pt>
                <c:pt idx="139">
                  <c:v>37.5</c:v>
                </c:pt>
                <c:pt idx="140">
                  <c:v>37.200000000000003</c:v>
                </c:pt>
                <c:pt idx="141">
                  <c:v>30.9</c:v>
                </c:pt>
                <c:pt idx="142">
                  <c:v>33.5</c:v>
                </c:pt>
                <c:pt idx="143">
                  <c:v>32.15</c:v>
                </c:pt>
                <c:pt idx="144">
                  <c:v>33.200000000000003</c:v>
                </c:pt>
                <c:pt idx="145">
                  <c:v>40.799999999999997</c:v>
                </c:pt>
                <c:pt idx="146">
                  <c:v>39.85</c:v>
                </c:pt>
                <c:pt idx="147">
                  <c:v>38.700000000000003</c:v>
                </c:pt>
                <c:pt idx="148">
                  <c:v>29.25</c:v>
                </c:pt>
                <c:pt idx="149">
                  <c:v>41.9</c:v>
                </c:pt>
                <c:pt idx="150">
                  <c:v>37.4</c:v>
                </c:pt>
                <c:pt idx="151">
                  <c:v>36.950000000000003</c:v>
                </c:pt>
                <c:pt idx="152">
                  <c:v>31.5</c:v>
                </c:pt>
                <c:pt idx="153">
                  <c:v>33.5</c:v>
                </c:pt>
                <c:pt idx="154">
                  <c:v>32.15</c:v>
                </c:pt>
                <c:pt idx="155">
                  <c:v>32.799999999999997</c:v>
                </c:pt>
                <c:pt idx="156">
                  <c:v>41.05</c:v>
                </c:pt>
                <c:pt idx="157">
                  <c:v>40.049999999999997</c:v>
                </c:pt>
                <c:pt idx="158">
                  <c:v>38.900000000000006</c:v>
                </c:pt>
                <c:pt idx="159">
                  <c:v>28.5</c:v>
                </c:pt>
                <c:pt idx="160">
                  <c:v>41.1</c:v>
                </c:pt>
                <c:pt idx="161">
                  <c:v>37.650000000000006</c:v>
                </c:pt>
                <c:pt idx="162">
                  <c:v>37.200000000000003</c:v>
                </c:pt>
                <c:pt idx="163">
                  <c:v>32.049999999999997</c:v>
                </c:pt>
                <c:pt idx="164">
                  <c:v>33.299999999999997</c:v>
                </c:pt>
                <c:pt idx="165">
                  <c:v>32.15</c:v>
                </c:pt>
                <c:pt idx="166">
                  <c:v>33.200000000000003</c:v>
                </c:pt>
                <c:pt idx="167">
                  <c:v>40.799999999999997</c:v>
                </c:pt>
                <c:pt idx="168">
                  <c:v>39.650000000000006</c:v>
                </c:pt>
                <c:pt idx="169">
                  <c:v>38.700000000000003</c:v>
                </c:pt>
                <c:pt idx="170">
                  <c:v>27.700000000000003</c:v>
                </c:pt>
                <c:pt idx="171">
                  <c:v>40.6</c:v>
                </c:pt>
                <c:pt idx="172">
                  <c:v>37.200000000000003</c:v>
                </c:pt>
                <c:pt idx="173">
                  <c:v>36.950000000000003</c:v>
                </c:pt>
                <c:pt idx="174">
                  <c:v>32.049999999999997</c:v>
                </c:pt>
                <c:pt idx="175">
                  <c:v>33.450000000000003</c:v>
                </c:pt>
                <c:pt idx="176">
                  <c:v>32.15</c:v>
                </c:pt>
                <c:pt idx="177">
                  <c:v>33.200000000000003</c:v>
                </c:pt>
                <c:pt idx="178">
                  <c:v>40.799999999999997</c:v>
                </c:pt>
                <c:pt idx="179">
                  <c:v>39.650000000000006</c:v>
                </c:pt>
                <c:pt idx="180">
                  <c:v>38.700000000000003</c:v>
                </c:pt>
                <c:pt idx="181">
                  <c:v>28.5</c:v>
                </c:pt>
                <c:pt idx="182">
                  <c:v>41.95</c:v>
                </c:pt>
                <c:pt idx="183">
                  <c:v>37.200000000000003</c:v>
                </c:pt>
                <c:pt idx="184">
                  <c:v>36.950000000000003</c:v>
                </c:pt>
                <c:pt idx="185">
                  <c:v>32.049999999999997</c:v>
                </c:pt>
                <c:pt idx="186">
                  <c:v>33.4</c:v>
                </c:pt>
                <c:pt idx="187">
                  <c:v>32.15</c:v>
                </c:pt>
                <c:pt idx="188">
                  <c:v>33.200000000000003</c:v>
                </c:pt>
                <c:pt idx="189">
                  <c:v>40.799999999999997</c:v>
                </c:pt>
                <c:pt idx="190">
                  <c:v>39.650000000000006</c:v>
                </c:pt>
                <c:pt idx="191">
                  <c:v>38.900000000000006</c:v>
                </c:pt>
                <c:pt idx="192">
                  <c:v>28.5</c:v>
                </c:pt>
                <c:pt idx="193">
                  <c:v>41.6</c:v>
                </c:pt>
                <c:pt idx="194">
                  <c:v>37.4</c:v>
                </c:pt>
                <c:pt idx="195">
                  <c:v>37.200000000000003</c:v>
                </c:pt>
                <c:pt idx="196">
                  <c:v>30.9</c:v>
                </c:pt>
                <c:pt idx="197">
                  <c:v>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5-455E-A317-DC7A780E7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148687"/>
        <c:axId val="772164047"/>
      </c:scatterChart>
      <c:valAx>
        <c:axId val="77214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GC3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64047"/>
        <c:crosses val="autoZero"/>
        <c:crossBetween val="midCat"/>
      </c:valAx>
      <c:valAx>
        <c:axId val="77216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GC12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4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45873</xdr:colOff>
      <xdr:row>0</xdr:row>
      <xdr:rowOff>65361</xdr:rowOff>
    </xdr:from>
    <xdr:to>
      <xdr:col>16</xdr:col>
      <xdr:colOff>541939</xdr:colOff>
      <xdr:row>20</xdr:row>
      <xdr:rowOff>81221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EB95E-8A0C-75D9-F85E-311ACBAE3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308331</xdr:colOff>
      <xdr:row>0</xdr:row>
      <xdr:rowOff>178478</xdr:rowOff>
    </xdr:from>
    <xdr:to>
      <xdr:col>20</xdr:col>
      <xdr:colOff>3532</xdr:colOff>
      <xdr:row>15</xdr:row>
      <xdr:rowOff>159428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78B5F-88AF-4B20-39FA-1EFDCD781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307975</xdr:colOff>
      <xdr:row>0</xdr:row>
      <xdr:rowOff>44992</xdr:rowOff>
    </xdr:from>
    <xdr:to>
      <xdr:col>20</xdr:col>
      <xdr:colOff>3176</xdr:colOff>
      <xdr:row>15</xdr:row>
      <xdr:rowOff>25942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3A2FA-5D80-9A78-D204-BD1608FE0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3.918102777781" createdVersion="8" refreshedVersion="8" minRefreshableVersion="3" recordCount="396" xr:uid="{77D0114D-2563-4A7C-84B7-63A258921538}">
  <cacheSource type="worksheet">
    <worksheetSource ref="A1:L397" sheet="CAI_Results"/>
  </cacheSource>
  <cacheFields count="12">
    <cacheField name="Subgroup" numFmtId="0">
      <sharedItems count="2">
        <s v="hRSV-A"/>
        <s v="hRSV-B"/>
      </sharedItems>
    </cacheField>
    <cacheField name="Country" numFmtId="0">
      <sharedItems/>
    </cacheField>
    <cacheField name="Genes" numFmtId="0">
      <sharedItems/>
    </cacheField>
    <cacheField name="Length" numFmtId="0">
      <sharedItems containsSemiMixedTypes="0" containsString="0" containsNumber="1" containsInteger="1" minValue="195" maxValue="6501"/>
    </cacheField>
    <cacheField name="CAI" numFmtId="0">
      <sharedItems containsSemiMixedTypes="0" containsString="0" containsNumber="1" minValue="0.63200000000000001" maxValue="0.76500000000000001"/>
    </cacheField>
    <cacheField name="%G+C" numFmtId="0">
      <sharedItems containsSemiMixedTypes="0" containsString="0" containsNumber="1" minValue="27.7" maxValue="44.8"/>
    </cacheField>
    <cacheField name="%G+C(1)" numFmtId="0">
      <sharedItems containsSemiMixedTypes="0" containsString="0" containsNumber="1" minValue="24.6" maxValue="49.2"/>
    </cacheField>
    <cacheField name="%G+C(2)" numFmtId="0">
      <sharedItems containsSemiMixedTypes="0" containsString="0" containsNumber="1" minValue="23.1" maxValue="50.5"/>
    </cacheField>
    <cacheField name="%G+C(3)" numFmtId="0">
      <sharedItems containsSemiMixedTypes="0" containsString="0" containsNumber="1" minValue="21.3" maxValue="46.1"/>
    </cacheField>
    <cacheField name="Nc" numFmtId="0">
      <sharedItems containsSemiMixedTypes="0" containsString="0" containsNumber="1" minValue="30" maxValue="61"/>
    </cacheField>
    <cacheField name="GC12" numFmtId="0">
      <sharedItems containsSemiMixedTypes="0" containsString="0" containsNumber="1" minValue="27.3" maxValue="44.1"/>
    </cacheField>
    <cacheField name="GeneName" numFmtId="0">
      <sharedItems count="11">
        <s v="NS1"/>
        <s v="NS2"/>
        <s v="N"/>
        <s v="P"/>
        <s v="M"/>
        <s v="SH"/>
        <s v="G"/>
        <s v="F"/>
        <s v="M2-1"/>
        <s v="M2-2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s v="Argentina"/>
    <s v="NS1_NS1_nonstructural_protein_1_70:489_forward"/>
    <n v="420"/>
    <n v="0.71899999999999997"/>
    <n v="31.4"/>
    <n v="35"/>
    <n v="30"/>
    <n v="29.3"/>
    <n v="51.5"/>
    <n v="32.5"/>
    <x v="0"/>
  </r>
  <r>
    <x v="0"/>
    <s v="Argentina"/>
    <s v="NS2_NS2_nonstructural_protein_2_599:973_forward"/>
    <n v="375"/>
    <n v="0.76300000000000001"/>
    <n v="34.4"/>
    <n v="34.4"/>
    <n v="32"/>
    <n v="36.799999999999997"/>
    <n v="45.2"/>
    <n v="33.200000000000003"/>
    <x v="1"/>
  </r>
  <r>
    <x v="0"/>
    <s v="Argentina"/>
    <s v="N_N_nucleoprotein_1111:2286_forward"/>
    <n v="1176"/>
    <n v="0.70099999999999996"/>
    <n v="37.200000000000003"/>
    <n v="48"/>
    <n v="33.9"/>
    <n v="29.8"/>
    <n v="45.5"/>
    <n v="40.950000000000003"/>
    <x v="2"/>
  </r>
  <r>
    <x v="0"/>
    <s v="Argentina"/>
    <s v="P_P_phosphoprotein_2318:3043_forward"/>
    <n v="726"/>
    <n v="0.71799999999999997"/>
    <n v="35.299999999999997"/>
    <n v="44.2"/>
    <n v="34.700000000000003"/>
    <n v="26.9"/>
    <n v="43.6"/>
    <n v="39.450000000000003"/>
    <x v="3"/>
  </r>
  <r>
    <x v="0"/>
    <s v="Argentina"/>
    <s v="M_M_matrix_protein_3226:3996_forward"/>
    <n v="771"/>
    <n v="0.69799999999999995"/>
    <n v="36.799999999999997"/>
    <n v="41.2"/>
    <n v="36.200000000000003"/>
    <n v="33.1"/>
    <n v="39.700000000000003"/>
    <n v="38.700000000000003"/>
    <x v="4"/>
  </r>
  <r>
    <x v="0"/>
    <s v="Argentina"/>
    <s v="SH_SH_small_hydrophobic_protein_4266:4460_forward"/>
    <n v="195"/>
    <n v="0.68"/>
    <n v="31.8"/>
    <n v="26.2"/>
    <n v="30.8"/>
    <n v="38.5"/>
    <n v="44.5"/>
    <n v="28.5"/>
    <x v="5"/>
  </r>
  <r>
    <x v="0"/>
    <s v="Argentina"/>
    <s v="G_G_attachment_glycoprotein_4652:5617_forward"/>
    <n v="966"/>
    <n v="0.74099999999999999"/>
    <n v="43.1"/>
    <n v="35.700000000000003"/>
    <n v="49.1"/>
    <n v="44.4"/>
    <n v="48.8"/>
    <n v="42.400000000000006"/>
    <x v="6"/>
  </r>
  <r>
    <x v="0"/>
    <s v="Argentina"/>
    <s v="F_F_fusion_glycoprotein_5697:7421_forward"/>
    <n v="1725"/>
    <n v="0.69499999999999995"/>
    <n v="35.299999999999997"/>
    <n v="37.4"/>
    <n v="37.6"/>
    <n v="31"/>
    <n v="46.3"/>
    <n v="37.5"/>
    <x v="7"/>
  </r>
  <r>
    <x v="0"/>
    <s v="Argentina"/>
    <s v="M2-1_M2-1_M2-1_protein_7640:8224_forward"/>
    <n v="585"/>
    <n v="0.72799999999999998"/>
    <n v="36.6"/>
    <n v="40"/>
    <n v="35.4"/>
    <n v="34.4"/>
    <n v="48.8"/>
    <n v="37.700000000000003"/>
    <x v="8"/>
  </r>
  <r>
    <x v="0"/>
    <s v="Argentina"/>
    <s v="M2-2_M2-2_M2-2_protein_8199:8465_forward"/>
    <n v="267"/>
    <n v="0.63800000000000001"/>
    <n v="28.8"/>
    <n v="36"/>
    <n v="27"/>
    <n v="23.6"/>
    <n v="44.2"/>
    <n v="31.5"/>
    <x v="9"/>
  </r>
  <r>
    <x v="0"/>
    <s v="Argentina"/>
    <s v="L_L_RNA-dependent_RNA_polymerase_8532:15029_forward"/>
    <n v="6498"/>
    <n v="0.69299999999999995"/>
    <n v="30.9"/>
    <n v="35.9"/>
    <n v="30.9"/>
    <n v="25.9"/>
    <n v="41.9"/>
    <n v="33.4"/>
    <x v="10"/>
  </r>
  <r>
    <x v="0"/>
    <s v="Austrailia"/>
    <s v="NS1_NS1_nonstructural_protein_1_64:483_forward"/>
    <n v="420"/>
    <n v="0.70899999999999996"/>
    <n v="30.5"/>
    <n v="35"/>
    <n v="29.3"/>
    <n v="27.1"/>
    <n v="47.9"/>
    <n v="32.15"/>
    <x v="0"/>
  </r>
  <r>
    <x v="0"/>
    <s v="Austrailia"/>
    <s v="NS2_NS2_nonstructural_protein_2_593:967_forward"/>
    <n v="375"/>
    <n v="0.75900000000000001"/>
    <n v="33.6"/>
    <n v="34.4"/>
    <n v="31.2"/>
    <n v="35.200000000000003"/>
    <n v="42"/>
    <n v="32.799999999999997"/>
    <x v="1"/>
  </r>
  <r>
    <x v="0"/>
    <s v="Austrailia"/>
    <s v="N_N_nucleoprotein_1105:2280_forward"/>
    <n v="1176"/>
    <n v="0.70099999999999996"/>
    <n v="37"/>
    <n v="47.7"/>
    <n v="33.9"/>
    <n v="29.3"/>
    <n v="45.2"/>
    <n v="40.799999999999997"/>
    <x v="2"/>
  </r>
  <r>
    <x v="0"/>
    <s v="Austrailia"/>
    <s v="P_P_phosphoprotein_2313:3038_forward"/>
    <n v="726"/>
    <n v="0.71799999999999997"/>
    <n v="35.700000000000003"/>
    <n v="44.6"/>
    <n v="35.1"/>
    <n v="27.3"/>
    <n v="44.6"/>
    <n v="39.85"/>
    <x v="3"/>
  </r>
  <r>
    <x v="0"/>
    <s v="Austrailia"/>
    <s v="M_M_matrix_protein_3221:3991_forward"/>
    <n v="771"/>
    <n v="0.7"/>
    <n v="37"/>
    <n v="41.2"/>
    <n v="36.200000000000003"/>
    <n v="33.5"/>
    <n v="39.4"/>
    <n v="38.700000000000003"/>
    <x v="4"/>
  </r>
  <r>
    <x v="0"/>
    <s v="Austrailia"/>
    <s v="SH_SH_small_hydrophobic_protein_4261:4455_forward"/>
    <n v="195"/>
    <n v="0.68200000000000005"/>
    <n v="32.799999999999997"/>
    <n v="26.2"/>
    <n v="32.299999999999997"/>
    <n v="40"/>
    <n v="45.5"/>
    <n v="29.25"/>
    <x v="5"/>
  </r>
  <r>
    <x v="0"/>
    <s v="Austrailia"/>
    <s v="G_G_attachment_glycoprotein_4646:5608_forward"/>
    <n v="963"/>
    <n v="0.76100000000000001"/>
    <n v="44.8"/>
    <n v="37.700000000000003"/>
    <n v="50.5"/>
    <n v="46.1"/>
    <n v="46.9"/>
    <n v="44.1"/>
    <x v="6"/>
  </r>
  <r>
    <x v="0"/>
    <s v="Austrailia"/>
    <s v="F_F_fusion_protein_5691:7415_forward"/>
    <n v="1725"/>
    <n v="0.68899999999999995"/>
    <n v="35.200000000000003"/>
    <n v="37.6"/>
    <n v="37.4"/>
    <n v="30.6"/>
    <n v="46"/>
    <n v="37.5"/>
    <x v="7"/>
  </r>
  <r>
    <x v="0"/>
    <s v="Austrailia"/>
    <s v="M2-1_M2-1_matrix_protein_2-1_7634:8218_forward"/>
    <n v="585"/>
    <n v="0.73099999999999998"/>
    <n v="36.4"/>
    <n v="39"/>
    <n v="34.9"/>
    <n v="35.4"/>
    <n v="48"/>
    <n v="36.950000000000003"/>
    <x v="8"/>
  </r>
  <r>
    <x v="0"/>
    <s v="Austrailia"/>
    <s v="M2-2_M2-2_matrix_protein_2-2_8193:8459_forward"/>
    <n v="267"/>
    <n v="0.64"/>
    <n v="28.5"/>
    <n v="34.799999999999997"/>
    <n v="27"/>
    <n v="23.6"/>
    <n v="43.1"/>
    <n v="30.9"/>
    <x v="9"/>
  </r>
  <r>
    <x v="0"/>
    <s v="Austrailia"/>
    <s v="L_L_RNA-directed_RNA_polymerase_8526:15023_forward"/>
    <n v="6498"/>
    <n v="0.69199999999999995"/>
    <n v="30.9"/>
    <n v="36.1"/>
    <n v="31"/>
    <n v="25.6"/>
    <n v="41.5"/>
    <n v="33.549999999999997"/>
    <x v="10"/>
  </r>
  <r>
    <x v="0"/>
    <s v="Brazil"/>
    <s v="NS1_NS1_nonstructural_protein_1_87:506_forward"/>
    <n v="420"/>
    <n v="0.71799999999999997"/>
    <n v="31.4"/>
    <n v="34.299999999999997"/>
    <n v="29.3"/>
    <n v="30.7"/>
    <n v="52.2"/>
    <n v="31.799999999999997"/>
    <x v="0"/>
  </r>
  <r>
    <x v="0"/>
    <s v="Brazil"/>
    <s v="NS2_NS2_nonstructural_protein_2_616:990_forward"/>
    <n v="375"/>
    <n v="0.755"/>
    <n v="33.9"/>
    <n v="34.4"/>
    <n v="33.6"/>
    <n v="33.6"/>
    <n v="44.4"/>
    <n v="34"/>
    <x v="1"/>
  </r>
  <r>
    <x v="0"/>
    <s v="Brazil"/>
    <s v="N_N_nucleoprotein_1128:2303_forward"/>
    <n v="1176"/>
    <n v="0.69399999999999995"/>
    <n v="37.200000000000003"/>
    <n v="48.7"/>
    <n v="34.200000000000003"/>
    <n v="28.8"/>
    <n v="46"/>
    <n v="41.45"/>
    <x v="2"/>
  </r>
  <r>
    <x v="0"/>
    <s v="Brazil"/>
    <s v="P_P_phosphoprotein_2335:3060_forward"/>
    <n v="726"/>
    <n v="0.72799999999999998"/>
    <n v="36.200000000000003"/>
    <n v="43.8"/>
    <n v="36"/>
    <n v="28.9"/>
    <n v="47.3"/>
    <n v="39.9"/>
    <x v="3"/>
  </r>
  <r>
    <x v="0"/>
    <s v="Brazil"/>
    <s v="M_M_matrix_protein_3244:4014_forward"/>
    <n v="771"/>
    <n v="0.69699999999999995"/>
    <n v="36.4"/>
    <n v="40.5"/>
    <n v="36.200000000000003"/>
    <n v="32.700000000000003"/>
    <n v="39.6"/>
    <n v="38.35"/>
    <x v="4"/>
  </r>
  <r>
    <x v="0"/>
    <s v="Brazil"/>
    <s v="SH_SH_small_hydrophobic_protein_4285:4479_forward"/>
    <n v="195"/>
    <n v="0.67600000000000005"/>
    <n v="31.8"/>
    <n v="27.7"/>
    <n v="30.8"/>
    <n v="36.9"/>
    <n v="36.5"/>
    <n v="29.25"/>
    <x v="5"/>
  </r>
  <r>
    <x v="0"/>
    <s v="Brazil"/>
    <s v="G_G_attachment_glycoprotein_4669:5565_forward"/>
    <n v="897"/>
    <n v="0.74299999999999999"/>
    <n v="41.9"/>
    <n v="36.1"/>
    <n v="45.8"/>
    <n v="43.8"/>
    <n v="50.3"/>
    <n v="40.950000000000003"/>
    <x v="6"/>
  </r>
  <r>
    <x v="0"/>
    <s v="Brazil"/>
    <s v="F_F_fusion_protein_5642:7366_forward"/>
    <n v="1725"/>
    <n v="0.69"/>
    <n v="34.6"/>
    <n v="37.200000000000003"/>
    <n v="36.700000000000003"/>
    <n v="29.9"/>
    <n v="45.8"/>
    <n v="36.950000000000003"/>
    <x v="7"/>
  </r>
  <r>
    <x v="0"/>
    <s v="Brazil"/>
    <s v="M2-1_M2-1_matrix_protein_2-1_7585:8169_forward"/>
    <n v="585"/>
    <n v="0.73299999999999998"/>
    <n v="35.200000000000003"/>
    <n v="39"/>
    <n v="34.4"/>
    <n v="32.299999999999997"/>
    <n v="44"/>
    <n v="36.700000000000003"/>
    <x v="8"/>
  </r>
  <r>
    <x v="0"/>
    <s v="Brazil"/>
    <s v="M2-2_M2-2_matrix_protein_2-2_8144:8410_forward"/>
    <n v="267"/>
    <n v="0.65800000000000003"/>
    <n v="27.7"/>
    <n v="33.700000000000003"/>
    <n v="28.1"/>
    <n v="21.3"/>
    <n v="44"/>
    <n v="30.900000000000002"/>
    <x v="9"/>
  </r>
  <r>
    <x v="0"/>
    <s v="Brazil"/>
    <s v="L_L_RNA-directed_RNA_polymerase_8477:14974_forward"/>
    <n v="6498"/>
    <n v="0.69499999999999995"/>
    <n v="30.7"/>
    <n v="36"/>
    <n v="30.7"/>
    <n v="25.5"/>
    <n v="41.2"/>
    <n v="33.35"/>
    <x v="10"/>
  </r>
  <r>
    <x v="0"/>
    <s v="Canada"/>
    <s v="NS1_NS1_nonstructural_protein_1_70:489_forward"/>
    <n v="420"/>
    <n v="0.70399999999999996"/>
    <n v="30.2"/>
    <n v="35"/>
    <n v="29.3"/>
    <n v="26.4"/>
    <n v="47.6"/>
    <n v="32.15"/>
    <x v="0"/>
  </r>
  <r>
    <x v="0"/>
    <s v="Canada"/>
    <s v="NS2_NS2_nonstructural_protein_2_599:973_forward"/>
    <n v="375"/>
    <n v="0.76300000000000001"/>
    <n v="34.1"/>
    <n v="34.4"/>
    <n v="32"/>
    <n v="36"/>
    <n v="42"/>
    <n v="33.200000000000003"/>
    <x v="1"/>
  </r>
  <r>
    <x v="0"/>
    <s v="Canada"/>
    <s v="N_N_nucleoprotein_1111:2286_forward"/>
    <n v="1176"/>
    <n v="0.69899999999999995"/>
    <n v="37.1"/>
    <n v="48"/>
    <n v="33.9"/>
    <n v="29.3"/>
    <n v="45.4"/>
    <n v="40.950000000000003"/>
    <x v="2"/>
  </r>
  <r>
    <x v="0"/>
    <s v="Canada"/>
    <s v="P_P_phosphoprotein_2318:3043_forward"/>
    <n v="726"/>
    <n v="0.71899999999999997"/>
    <n v="36"/>
    <n v="44.6"/>
    <n v="35.1"/>
    <n v="28.1"/>
    <n v="44.6"/>
    <n v="39.85"/>
    <x v="3"/>
  </r>
  <r>
    <x v="0"/>
    <s v="Canada"/>
    <s v="M_M_matrix_protein_3228:3998_forward"/>
    <n v="771"/>
    <n v="0.69699999999999995"/>
    <n v="36.799999999999997"/>
    <n v="41.2"/>
    <n v="36.200000000000003"/>
    <n v="33.1"/>
    <n v="39.799999999999997"/>
    <n v="38.700000000000003"/>
    <x v="4"/>
  </r>
  <r>
    <x v="0"/>
    <s v="Canada"/>
    <s v="SH_SH_small_hydrophobic_protein_4269:4463_forward"/>
    <n v="195"/>
    <n v="0.68400000000000005"/>
    <n v="32.299999999999997"/>
    <n v="26.2"/>
    <n v="30.8"/>
    <n v="40"/>
    <n v="44.5"/>
    <n v="28.5"/>
    <x v="5"/>
  </r>
  <r>
    <x v="0"/>
    <s v="Canada"/>
    <s v="G_G_attachment_glycoprotein_4655:5620_forward"/>
    <n v="966"/>
    <n v="0.74399999999999999"/>
    <n v="43.4"/>
    <n v="35.4"/>
    <n v="49.4"/>
    <n v="45.3"/>
    <n v="48.6"/>
    <n v="42.4"/>
    <x v="6"/>
  </r>
  <r>
    <x v="0"/>
    <s v="Canada"/>
    <s v="F_F_fusion_glycoprotein_5700:7424_forward"/>
    <n v="1725"/>
    <n v="0.69"/>
    <n v="35.1"/>
    <n v="37.6"/>
    <n v="37.700000000000003"/>
    <n v="30.1"/>
    <n v="45.8"/>
    <n v="37.650000000000006"/>
    <x v="7"/>
  </r>
  <r>
    <x v="0"/>
    <s v="Canada"/>
    <s v="M2-1_M2-1_M2-1_protein_7643:8227_forward"/>
    <n v="585"/>
    <n v="0.73099999999999998"/>
    <n v="36.4"/>
    <n v="39"/>
    <n v="34.9"/>
    <n v="35.4"/>
    <n v="48"/>
    <n v="36.950000000000003"/>
    <x v="8"/>
  </r>
  <r>
    <x v="0"/>
    <s v="Canada"/>
    <s v="M2-2_M2-2_M2-2_protein_8202:8468_forward"/>
    <n v="267"/>
    <n v="0.63800000000000001"/>
    <n v="28.8"/>
    <n v="36"/>
    <n v="27"/>
    <n v="23.6"/>
    <n v="44.2"/>
    <n v="31.5"/>
    <x v="9"/>
  </r>
  <r>
    <x v="0"/>
    <s v="Canada"/>
    <s v="L_L_RNA-dependent_RNA_polymerase_8535:15032_forward"/>
    <n v="6498"/>
    <n v="0.69299999999999995"/>
    <n v="31"/>
    <n v="36.1"/>
    <n v="30.9"/>
    <n v="26"/>
    <n v="42"/>
    <n v="33.5"/>
    <x v="10"/>
  </r>
  <r>
    <x v="0"/>
    <s v="China"/>
    <s v="NS1_NS1_nonstructural_protein_1_72:491_forward"/>
    <n v="420"/>
    <n v="0.70599999999999996"/>
    <n v="30.5"/>
    <n v="35"/>
    <n v="29.3"/>
    <n v="27.1"/>
    <n v="48.1"/>
    <n v="32.15"/>
    <x v="0"/>
  </r>
  <r>
    <x v="0"/>
    <s v="China"/>
    <s v="NS2_NS2_nonstructural_protein_2_601:975_forward"/>
    <n v="375"/>
    <n v="0.75600000000000001"/>
    <n v="33.9"/>
    <n v="34.4"/>
    <n v="32"/>
    <n v="35.200000000000003"/>
    <n v="41.5"/>
    <n v="33.200000000000003"/>
    <x v="1"/>
  </r>
  <r>
    <x v="0"/>
    <s v="China"/>
    <s v="N_N_nucleoprotein_1113:2288_forward"/>
    <n v="1176"/>
    <n v="0.69899999999999995"/>
    <n v="36.700000000000003"/>
    <n v="47.7"/>
    <n v="33.9"/>
    <n v="28.6"/>
    <n v="45.8"/>
    <n v="40.799999999999997"/>
    <x v="2"/>
  </r>
  <r>
    <x v="0"/>
    <s v="China"/>
    <s v="P_P_phosphoprotein_2320:3045_forward"/>
    <n v="726"/>
    <n v="0.71599999999999997"/>
    <n v="35.5"/>
    <n v="44.6"/>
    <n v="34.700000000000003"/>
    <n v="27.3"/>
    <n v="44.6"/>
    <n v="39.650000000000006"/>
    <x v="3"/>
  </r>
  <r>
    <x v="0"/>
    <s v="China"/>
    <s v="M_M_matrix_protein_3226:3996_forward"/>
    <n v="771"/>
    <n v="0.69099999999999995"/>
    <n v="36.200000000000003"/>
    <n v="40.9"/>
    <n v="36.200000000000003"/>
    <n v="31.5"/>
    <n v="39.4"/>
    <n v="38.549999999999997"/>
    <x v="4"/>
  </r>
  <r>
    <x v="0"/>
    <s v="China"/>
    <s v="SH_SH_small_hydrophobic_protein_4266:4460_forward"/>
    <n v="195"/>
    <n v="0.69099999999999995"/>
    <n v="31.3"/>
    <n v="24.6"/>
    <n v="30.8"/>
    <n v="38.5"/>
    <n v="60.4"/>
    <n v="27.700000000000003"/>
    <x v="5"/>
  </r>
  <r>
    <x v="0"/>
    <s v="China"/>
    <s v="G_G_attachment_glycoprotein_4653:5618_forward"/>
    <n v="966"/>
    <n v="0.746"/>
    <n v="42.9"/>
    <n v="35.4"/>
    <n v="47.8"/>
    <n v="45.3"/>
    <n v="49.9"/>
    <n v="41.599999999999994"/>
    <x v="6"/>
  </r>
  <r>
    <x v="0"/>
    <s v="China"/>
    <s v="F_F_fusion_glycoprotein_5698:7422_forward"/>
    <n v="1725"/>
    <n v="0.68899999999999995"/>
    <n v="35.200000000000003"/>
    <n v="37.6"/>
    <n v="37.4"/>
    <n v="30.6"/>
    <n v="46"/>
    <n v="37.5"/>
    <x v="7"/>
  </r>
  <r>
    <x v="0"/>
    <s v="China"/>
    <s v="M2-1_M2-1_M2-1_protein_7641:8225_forward"/>
    <n v="585"/>
    <n v="0.73"/>
    <n v="36.4"/>
    <n v="39"/>
    <n v="34.9"/>
    <n v="35.4"/>
    <n v="50"/>
    <n v="36.950000000000003"/>
    <x v="8"/>
  </r>
  <r>
    <x v="0"/>
    <s v="China"/>
    <s v="M2-2_M2-2_M2-2_protein_8200:8466_forward"/>
    <n v="267"/>
    <n v="0.63200000000000001"/>
    <n v="28.8"/>
    <n v="37.1"/>
    <n v="27"/>
    <n v="22.5"/>
    <n v="44.8"/>
    <n v="32.049999999999997"/>
    <x v="9"/>
  </r>
  <r>
    <x v="0"/>
    <s v="China"/>
    <s v="L_L_RNA-dependent_RNA_polymerase_8533:15030_forward"/>
    <n v="6498"/>
    <n v="0.69"/>
    <n v="30.7"/>
    <n v="35.9"/>
    <n v="30.9"/>
    <n v="25.3"/>
    <n v="41.2"/>
    <n v="33.4"/>
    <x v="10"/>
  </r>
  <r>
    <x v="0"/>
    <s v="Germany"/>
    <s v="NS1_NS1_nonstructural_protein_1_87:506_forward"/>
    <n v="420"/>
    <n v="0.70699999999999996"/>
    <n v="30.7"/>
    <n v="35"/>
    <n v="29.3"/>
    <n v="27.9"/>
    <n v="48"/>
    <n v="32.15"/>
    <x v="0"/>
  </r>
  <r>
    <x v="0"/>
    <s v="Germany"/>
    <s v="NS2_NS2_nonstructural_protein_2_618:992_forward"/>
    <n v="375"/>
    <n v="0.76400000000000001"/>
    <n v="33.9"/>
    <n v="34.4"/>
    <n v="32"/>
    <n v="35.200000000000003"/>
    <n v="41.8"/>
    <n v="33.200000000000003"/>
    <x v="1"/>
  </r>
  <r>
    <x v="0"/>
    <s v="Germany"/>
    <s v="N_N_nucleocapsid_protein_1130:2305_forward"/>
    <n v="1176"/>
    <n v="0.7"/>
    <n v="36.799999999999997"/>
    <n v="48"/>
    <n v="33.9"/>
    <n v="28.6"/>
    <n v="45.5"/>
    <n v="40.950000000000003"/>
    <x v="2"/>
  </r>
  <r>
    <x v="0"/>
    <s v="Germany"/>
    <s v="P_P_phosphoprotein_2337:3062_forward"/>
    <n v="726"/>
    <n v="0.71299999999999997"/>
    <n v="35.4"/>
    <n v="44.6"/>
    <n v="35.1"/>
    <n v="26.4"/>
    <n v="45.1"/>
    <n v="39.85"/>
    <x v="3"/>
  </r>
  <r>
    <x v="0"/>
    <s v="Germany"/>
    <s v="M_M_matrix_protein_3246:4016_forward"/>
    <n v="771"/>
    <n v="0.69499999999999995"/>
    <n v="36.6"/>
    <n v="40.9"/>
    <n v="36.6"/>
    <n v="32.299999999999997"/>
    <n v="39.799999999999997"/>
    <n v="38.75"/>
    <x v="4"/>
  </r>
  <r>
    <x v="0"/>
    <s v="Germany"/>
    <s v="SH_SH_small_hydrophobic_protein_4286:4480_forward"/>
    <n v="195"/>
    <n v="0.68300000000000005"/>
    <n v="32.299999999999997"/>
    <n v="26.2"/>
    <n v="30.8"/>
    <n v="40"/>
    <n v="49.9"/>
    <n v="28.5"/>
    <x v="5"/>
  </r>
  <r>
    <x v="0"/>
    <s v="Germany"/>
    <s v="G_G_attachment_glycoprotein_4671:5564_forward"/>
    <n v="894"/>
    <n v="0.754"/>
    <n v="42.4"/>
    <n v="33.9"/>
    <n v="48.7"/>
    <n v="44.6"/>
    <n v="48.9"/>
    <n v="41.3"/>
    <x v="6"/>
  </r>
  <r>
    <x v="0"/>
    <s v="Germany"/>
    <s v="F_F_fusion_protein_5644:7368_forward"/>
    <n v="1725"/>
    <n v="0.69299999999999995"/>
    <n v="35.299999999999997"/>
    <n v="37.200000000000003"/>
    <n v="37.6"/>
    <n v="31.1"/>
    <n v="46.2"/>
    <n v="37.400000000000006"/>
    <x v="7"/>
  </r>
  <r>
    <x v="0"/>
    <s v="Germany"/>
    <s v="M2-1_M2-1_transcription_elongation_factor_M2-1_7587:8171_forward"/>
    <n v="585"/>
    <n v="0.73099999999999998"/>
    <n v="36.6"/>
    <n v="39"/>
    <n v="34.9"/>
    <n v="35.9"/>
    <n v="49.2"/>
    <n v="36.950000000000003"/>
    <x v="8"/>
  </r>
  <r>
    <x v="0"/>
    <s v="Germany"/>
    <s v="M2-2_M2-2_transcription_replication_factor_M2-2_8146:8412_forward"/>
    <n v="267"/>
    <n v="0.63800000000000001"/>
    <n v="29.2"/>
    <n v="36"/>
    <n v="27"/>
    <n v="24.7"/>
    <n v="44.2"/>
    <n v="31.5"/>
    <x v="9"/>
  </r>
  <r>
    <x v="0"/>
    <s v="Germany"/>
    <s v="L_L_RNA-directed_RNA_polymerase_8479:14976_forward"/>
    <n v="6498"/>
    <n v="0.69199999999999995"/>
    <n v="30.7"/>
    <n v="35.9"/>
    <n v="30.9"/>
    <n v="25.3"/>
    <n v="41.2"/>
    <n v="33.4"/>
    <x v="10"/>
  </r>
  <r>
    <x v="0"/>
    <s v="India"/>
    <s v="NS1_NS1_non-structural_protein_1_70:489_forward"/>
    <n v="420"/>
    <n v="0.70599999999999996"/>
    <n v="30.5"/>
    <n v="35"/>
    <n v="29.3"/>
    <n v="27.1"/>
    <n v="48.1"/>
    <n v="32.15"/>
    <x v="0"/>
  </r>
  <r>
    <x v="0"/>
    <s v="India"/>
    <s v="NS2_NS2_non-structural_protein_2_599:973_forward"/>
    <n v="375"/>
    <n v="0.75800000000000001"/>
    <n v="34.1"/>
    <n v="34.4"/>
    <n v="32"/>
    <n v="36"/>
    <n v="41.8"/>
    <n v="33.200000000000003"/>
    <x v="1"/>
  </r>
  <r>
    <x v="0"/>
    <s v="India"/>
    <s v="N_N_nucleocapsid_protein_1111:2286_forward"/>
    <n v="1176"/>
    <n v="0.69899999999999995"/>
    <n v="36.700000000000003"/>
    <n v="47.7"/>
    <n v="33.9"/>
    <n v="28.6"/>
    <n v="45.5"/>
    <n v="40.799999999999997"/>
    <x v="2"/>
  </r>
  <r>
    <x v="0"/>
    <s v="India"/>
    <s v="P_P_phosphoprotein_2318:3043_forward"/>
    <n v="726"/>
    <n v="0.71499999999999997"/>
    <n v="35.799999999999997"/>
    <n v="44.6"/>
    <n v="35.1"/>
    <n v="27.7"/>
    <n v="45.1"/>
    <n v="39.85"/>
    <x v="3"/>
  </r>
  <r>
    <x v="0"/>
    <s v="India"/>
    <s v="M_M_matrix_protein_3226:3996_forward"/>
    <n v="771"/>
    <n v="0.69599999999999995"/>
    <n v="36.6"/>
    <n v="41.2"/>
    <n v="36.200000000000003"/>
    <n v="32.299999999999997"/>
    <n v="39.799999999999997"/>
    <n v="38.700000000000003"/>
    <x v="4"/>
  </r>
  <r>
    <x v="0"/>
    <s v="India"/>
    <s v="SH_SH_small_hydrophobic_protein_4266:4460_forward"/>
    <n v="195"/>
    <n v="0.68"/>
    <n v="31.8"/>
    <n v="26.2"/>
    <n v="30.8"/>
    <n v="38.5"/>
    <n v="45.4"/>
    <n v="28.5"/>
    <x v="5"/>
  </r>
  <r>
    <x v="0"/>
    <s v="India"/>
    <s v="G_G_glycoprotein_4651:5616_forward"/>
    <n v="966"/>
    <n v="0.754"/>
    <n v="43.1"/>
    <n v="35.1"/>
    <n v="49.1"/>
    <n v="45"/>
    <n v="49.3"/>
    <n v="42.1"/>
    <x v="6"/>
  </r>
  <r>
    <x v="0"/>
    <s v="India"/>
    <s v="F_F_fusion_protein_5696:7420_forward"/>
    <n v="1725"/>
    <n v="0.69199999999999995"/>
    <n v="35.4"/>
    <n v="37.6"/>
    <n v="37.6"/>
    <n v="31.1"/>
    <n v="46.2"/>
    <n v="37.6"/>
    <x v="7"/>
  </r>
  <r>
    <x v="0"/>
    <s v="India"/>
    <s v="M2-1_M2-1_matrix_protein_2-1_7639:8223_forward"/>
    <n v="585"/>
    <n v="0.73099999999999998"/>
    <n v="36.4"/>
    <n v="39"/>
    <n v="34.9"/>
    <n v="35.4"/>
    <n v="48"/>
    <n v="36.950000000000003"/>
    <x v="8"/>
  </r>
  <r>
    <x v="0"/>
    <s v="India"/>
    <s v="M2-2_M2-2_matrix_protein_2-2_8198:8464_forward"/>
    <n v="267"/>
    <n v="0.63800000000000001"/>
    <n v="28.8"/>
    <n v="36"/>
    <n v="27"/>
    <n v="23.6"/>
    <n v="44.2"/>
    <n v="31.5"/>
    <x v="9"/>
  </r>
  <r>
    <x v="0"/>
    <s v="India"/>
    <s v="L_L_polymerase_8531:15028_forward"/>
    <n v="6498"/>
    <n v="0.69199999999999995"/>
    <n v="30.7"/>
    <n v="35.9"/>
    <n v="30.9"/>
    <n v="25.4"/>
    <n v="41.3"/>
    <n v="33.4"/>
    <x v="10"/>
  </r>
  <r>
    <x v="0"/>
    <s v="Italy"/>
    <s v="NS1_NS1_nonstructural_protein_1_70:489_forward"/>
    <n v="420"/>
    <n v="0.7"/>
    <n v="30.2"/>
    <n v="35"/>
    <n v="29.3"/>
    <n v="26.4"/>
    <n v="47.4"/>
    <n v="32.15"/>
    <x v="0"/>
  </r>
  <r>
    <x v="0"/>
    <s v="Italy"/>
    <s v="NS2_NS2_nonstructural_protein_2_599:973_forward"/>
    <n v="375"/>
    <n v="0.76500000000000001"/>
    <n v="34.1"/>
    <n v="34.4"/>
    <n v="32"/>
    <n v="36"/>
    <n v="42.2"/>
    <n v="33.200000000000003"/>
    <x v="1"/>
  </r>
  <r>
    <x v="0"/>
    <s v="Italy"/>
    <s v="N_N_nucleoprotein_1111:2286_forward"/>
    <n v="1176"/>
    <n v="0.7"/>
    <n v="36.700000000000003"/>
    <n v="47.7"/>
    <n v="33.9"/>
    <n v="28.6"/>
    <n v="45"/>
    <n v="40.799999999999997"/>
    <x v="2"/>
  </r>
  <r>
    <x v="0"/>
    <s v="Italy"/>
    <s v="P_P_phosphoprotein_2319:3044_forward"/>
    <n v="726"/>
    <n v="0.71499999999999997"/>
    <n v="35.799999999999997"/>
    <n v="44.6"/>
    <n v="35.1"/>
    <n v="27.7"/>
    <n v="45.3"/>
    <n v="39.85"/>
    <x v="3"/>
  </r>
  <r>
    <x v="0"/>
    <s v="Italy"/>
    <s v="M_M_matrix_protein_3227:3997_forward"/>
    <n v="771"/>
    <n v="0.69499999999999995"/>
    <n v="36.6"/>
    <n v="41.2"/>
    <n v="36.200000000000003"/>
    <n v="32.299999999999997"/>
    <n v="39.6"/>
    <n v="38.700000000000003"/>
    <x v="4"/>
  </r>
  <r>
    <x v="0"/>
    <s v="Italy"/>
    <s v="SH_SH_small_hydrophobic_protein_4267:4461_forward"/>
    <n v="195"/>
    <n v="0.68600000000000005"/>
    <n v="32.299999999999997"/>
    <n v="26.2"/>
    <n v="30.8"/>
    <n v="40"/>
    <n v="48.5"/>
    <n v="28.5"/>
    <x v="5"/>
  </r>
  <r>
    <x v="0"/>
    <s v="Italy"/>
    <s v="G_G_attachment_glycoprotein_4652:5617_forward"/>
    <n v="966"/>
    <n v="0.748"/>
    <n v="43.4"/>
    <n v="35.4"/>
    <n v="49.1"/>
    <n v="45.7"/>
    <n v="49.7"/>
    <n v="42.25"/>
    <x v="6"/>
  </r>
  <r>
    <x v="0"/>
    <s v="Italy"/>
    <s v="F_F_fusion_glycoprotein_5697:7421_forward"/>
    <n v="1725"/>
    <n v="0.68500000000000005"/>
    <n v="35.5"/>
    <n v="37.9"/>
    <n v="37.6"/>
    <n v="31"/>
    <n v="46.6"/>
    <n v="37.75"/>
    <x v="7"/>
  </r>
  <r>
    <x v="0"/>
    <s v="Italy"/>
    <s v="M2-1_M2-1_M2-1_protein_7640:8224_forward"/>
    <n v="585"/>
    <n v="0.72899999999999998"/>
    <n v="35.700000000000003"/>
    <n v="39"/>
    <n v="34.4"/>
    <n v="33.799999999999997"/>
    <n v="48.5"/>
    <n v="36.700000000000003"/>
    <x v="8"/>
  </r>
  <r>
    <x v="0"/>
    <s v="Italy"/>
    <s v="M2-2_M2-2_M2-2_protein_8199:8465_forward"/>
    <n v="267"/>
    <n v="0.63800000000000001"/>
    <n v="28.8"/>
    <n v="36"/>
    <n v="27"/>
    <n v="23.6"/>
    <n v="44.2"/>
    <n v="31.5"/>
    <x v="9"/>
  </r>
  <r>
    <x v="0"/>
    <s v="Italy"/>
    <s v="L_L_RNA-dependent_RNA_polymerase_8532:15029_forward"/>
    <n v="6498"/>
    <n v="0.69299999999999995"/>
    <n v="30.9"/>
    <n v="36"/>
    <n v="31"/>
    <n v="25.8"/>
    <n v="41.4"/>
    <n v="33.5"/>
    <x v="10"/>
  </r>
  <r>
    <x v="0"/>
    <s v="Japan"/>
    <s v="NS1_NS1_non-structural_protein_1_64:483_forward"/>
    <n v="420"/>
    <n v="0.71"/>
    <n v="30.7"/>
    <n v="35"/>
    <n v="29.3"/>
    <n v="27.9"/>
    <n v="48.9"/>
    <n v="32.15"/>
    <x v="0"/>
  </r>
  <r>
    <x v="0"/>
    <s v="Japan"/>
    <s v="NS2_NS2_non-structural_protein_2_593:967_forward"/>
    <n v="375"/>
    <n v="0.76100000000000001"/>
    <n v="34.700000000000003"/>
    <n v="34.4"/>
    <n v="32"/>
    <n v="37.6"/>
    <n v="42"/>
    <n v="33.200000000000003"/>
    <x v="1"/>
  </r>
  <r>
    <x v="0"/>
    <s v="Japan"/>
    <s v="N_N_nucleocapsid_protein_1105:2280_forward"/>
    <n v="1176"/>
    <n v="0.7"/>
    <n v="37"/>
    <n v="48"/>
    <n v="33.9"/>
    <n v="29.1"/>
    <n v="47.7"/>
    <n v="40.950000000000003"/>
    <x v="2"/>
  </r>
  <r>
    <x v="0"/>
    <s v="Japan"/>
    <s v="P_P_phosphoprotein_2312:3037_forward"/>
    <n v="726"/>
    <n v="0.71699999999999997"/>
    <n v="35.5"/>
    <n v="44.6"/>
    <n v="34.700000000000003"/>
    <n v="27.3"/>
    <n v="45.2"/>
    <n v="39.650000000000006"/>
    <x v="3"/>
  </r>
  <r>
    <x v="0"/>
    <s v="Japan"/>
    <s v="M_M_matrix_protein_3220:3990_forward"/>
    <n v="771"/>
    <n v="0.70099999999999996"/>
    <n v="36.799999999999997"/>
    <n v="41.6"/>
    <n v="36.200000000000003"/>
    <n v="32.700000000000003"/>
    <n v="40.5"/>
    <n v="38.900000000000006"/>
    <x v="4"/>
  </r>
  <r>
    <x v="0"/>
    <s v="Japan"/>
    <s v="SH_SH_small_hydrophobic_protein_4260:4454_forward"/>
    <n v="195"/>
    <n v="0.67800000000000005"/>
    <n v="31.3"/>
    <n v="26.2"/>
    <n v="30.8"/>
    <n v="36.9"/>
    <n v="45.4"/>
    <n v="28.5"/>
    <x v="5"/>
  </r>
  <r>
    <x v="0"/>
    <s v="Japan"/>
    <s v="G_G_attachment_glycoprotein_4645:5610_forward"/>
    <n v="966"/>
    <n v="0.755"/>
    <n v="43.3"/>
    <n v="35.4"/>
    <n v="49.1"/>
    <n v="45.3"/>
    <n v="51.9"/>
    <n v="42.25"/>
    <x v="6"/>
  </r>
  <r>
    <x v="0"/>
    <s v="Japan"/>
    <s v="F_F_fusion_protein_5690:7414_forward"/>
    <n v="1725"/>
    <n v="0.69"/>
    <n v="35.299999999999997"/>
    <n v="37.4"/>
    <n v="37.6"/>
    <n v="31"/>
    <n v="46.9"/>
    <n v="37.5"/>
    <x v="7"/>
  </r>
  <r>
    <x v="0"/>
    <s v="Japan"/>
    <s v="M2-1_M2-1_transcription_elongation_factor_m2-1_7630:8214_forward"/>
    <n v="585"/>
    <n v="0.73099999999999998"/>
    <n v="36.4"/>
    <n v="39.5"/>
    <n v="34.9"/>
    <n v="34.9"/>
    <n v="48.9"/>
    <n v="37.200000000000003"/>
    <x v="8"/>
  </r>
  <r>
    <x v="0"/>
    <s v="Japan"/>
    <s v="M2-2_M2-2_transcription_elongation_factor_m2-2_8189:8455_forward"/>
    <n v="267"/>
    <n v="0.63500000000000001"/>
    <n v="28.1"/>
    <n v="36"/>
    <n v="25.8"/>
    <n v="22.5"/>
    <n v="44.6"/>
    <n v="30.9"/>
    <x v="9"/>
  </r>
  <r>
    <x v="0"/>
    <s v="Japan"/>
    <s v="L_L_rna_directed_rna_polymerase_L_8522:15019_forward"/>
    <n v="6498"/>
    <n v="0.69199999999999995"/>
    <n v="30.7"/>
    <n v="36.1"/>
    <n v="30.8"/>
    <n v="25.2"/>
    <n v="40.9"/>
    <n v="33.450000000000003"/>
    <x v="10"/>
  </r>
  <r>
    <x v="0"/>
    <s v="Kenya"/>
    <s v="NS1_NS1_nonstructural_protein_1_87:506_forward"/>
    <n v="420"/>
    <n v="0.70699999999999996"/>
    <n v="30.7"/>
    <n v="35"/>
    <n v="29.3"/>
    <n v="27.9"/>
    <n v="49.1"/>
    <n v="32.15"/>
    <x v="0"/>
  </r>
  <r>
    <x v="0"/>
    <s v="Kenya"/>
    <s v="NS2_NS2_nonstructural_protein_2_616:990_forward"/>
    <n v="375"/>
    <n v="0.76300000000000001"/>
    <n v="33.6"/>
    <n v="34.4"/>
    <n v="32"/>
    <n v="34.4"/>
    <n v="43.8"/>
    <n v="33.200000000000003"/>
    <x v="1"/>
  </r>
  <r>
    <x v="0"/>
    <s v="Kenya"/>
    <s v="N_N_nucleoprotein_1128:2303_forward"/>
    <n v="1176"/>
    <n v="0.70099999999999996"/>
    <n v="37"/>
    <n v="47.7"/>
    <n v="33.9"/>
    <n v="29.3"/>
    <n v="45.7"/>
    <n v="40.799999999999997"/>
    <x v="2"/>
  </r>
  <r>
    <x v="0"/>
    <s v="Kenya"/>
    <s v="P_P_phosphoprotein_2334:3059_forward"/>
    <n v="726"/>
    <n v="0.71599999999999997"/>
    <n v="35.799999999999997"/>
    <n v="44.6"/>
    <n v="35.1"/>
    <n v="27.7"/>
    <n v="44.8"/>
    <n v="39.85"/>
    <x v="3"/>
  </r>
  <r>
    <x v="0"/>
    <s v="Kenya"/>
    <s v="M_M_matrix_protein_3242:4012_forward"/>
    <n v="771"/>
    <n v="0.69599999999999995"/>
    <n v="36.700000000000003"/>
    <n v="41.2"/>
    <n v="36.200000000000003"/>
    <n v="32.700000000000003"/>
    <n v="40"/>
    <n v="38.700000000000003"/>
    <x v="4"/>
  </r>
  <r>
    <x v="0"/>
    <s v="Kenya"/>
    <s v="SH_SH_small_hydrophobic_protein_4282:4476_forward"/>
    <n v="195"/>
    <n v="0.68"/>
    <n v="31.8"/>
    <n v="26.2"/>
    <n v="30.8"/>
    <n v="38.5"/>
    <n v="45.4"/>
    <n v="28.5"/>
    <x v="5"/>
  </r>
  <r>
    <x v="0"/>
    <s v="Kenya"/>
    <s v="G_G_attachment_glycoprotein_4667:5563_forward"/>
    <n v="897"/>
    <n v="0.74399999999999999"/>
    <n v="42.6"/>
    <n v="34.1"/>
    <n v="47.8"/>
    <n v="45.8"/>
    <n v="48.3"/>
    <n v="40.950000000000003"/>
    <x v="6"/>
  </r>
  <r>
    <x v="0"/>
    <s v="Kenya"/>
    <s v="F_F_fusion_protein_5640:7364_forward"/>
    <n v="1725"/>
    <n v="0.69099999999999995"/>
    <n v="35.1"/>
    <n v="37.200000000000003"/>
    <n v="37.4"/>
    <n v="30.6"/>
    <n v="45.9"/>
    <n v="37.299999999999997"/>
    <x v="7"/>
  </r>
  <r>
    <x v="0"/>
    <s v="Kenya"/>
    <s v="M2-1_M2-1_matrix_protein_2-1_7583:8167_forward"/>
    <n v="585"/>
    <n v="0.73899999999999999"/>
    <n v="36.799999999999997"/>
    <n v="39"/>
    <n v="34.9"/>
    <n v="36.4"/>
    <n v="48.1"/>
    <n v="36.950000000000003"/>
    <x v="8"/>
  </r>
  <r>
    <x v="0"/>
    <s v="Kenya"/>
    <s v="M2-2_M2-2_matrix_protein_2-2_8142:8408_forward"/>
    <n v="267"/>
    <n v="0.64400000000000002"/>
    <n v="29.6"/>
    <n v="37.1"/>
    <n v="27"/>
    <n v="24.7"/>
    <n v="32.299999999999997"/>
    <n v="32.049999999999997"/>
    <x v="9"/>
  </r>
  <r>
    <x v="0"/>
    <s v="Kenya"/>
    <s v="L_L_RNA-directed_RNA_polymerase_8475:14972_forward"/>
    <n v="6498"/>
    <n v="0.69199999999999995"/>
    <n v="30.5"/>
    <n v="35.799999999999997"/>
    <n v="30.8"/>
    <n v="25"/>
    <n v="41"/>
    <n v="33.299999999999997"/>
    <x v="10"/>
  </r>
  <r>
    <x v="0"/>
    <s v="Mexico"/>
    <s v="NS1_NS1_nonstructural_protein_1_80:499_forward"/>
    <n v="420"/>
    <n v="0.71099999999999997"/>
    <n v="30"/>
    <n v="34.299999999999997"/>
    <n v="29.3"/>
    <n v="26.4"/>
    <n v="46.1"/>
    <n v="31.799999999999997"/>
    <x v="0"/>
  </r>
  <r>
    <x v="0"/>
    <s v="Mexico"/>
    <s v="NS2_NS2_nonstructural_protein_2_611:985_forward"/>
    <n v="375"/>
    <n v="0.76100000000000001"/>
    <n v="33.9"/>
    <n v="34.4"/>
    <n v="32"/>
    <n v="35.200000000000003"/>
    <n v="44.4"/>
    <n v="33.200000000000003"/>
    <x v="1"/>
  </r>
  <r>
    <x v="0"/>
    <s v="Mexico"/>
    <s v="N_N_nucleoprotein_1123:2298_forward"/>
    <n v="1176"/>
    <n v="0.70199999999999996"/>
    <n v="37.1"/>
    <n v="47.7"/>
    <n v="33.9"/>
    <n v="29.6"/>
    <n v="45.1"/>
    <n v="40.799999999999997"/>
    <x v="2"/>
  </r>
  <r>
    <x v="0"/>
    <s v="Mexico"/>
    <s v="P_P_phosphoprotein_2330:3055_forward"/>
    <n v="726"/>
    <n v="0.71499999999999997"/>
    <n v="35.1"/>
    <n v="44.6"/>
    <n v="34.700000000000003"/>
    <n v="26"/>
    <n v="42.9"/>
    <n v="39.650000000000006"/>
    <x v="3"/>
  </r>
  <r>
    <x v="0"/>
    <s v="Mexico"/>
    <s v="M_M_matrix_protein_3238:4008_forward"/>
    <n v="771"/>
    <n v="0.69699999999999995"/>
    <n v="36.700000000000003"/>
    <n v="41.2"/>
    <n v="36.200000000000003"/>
    <n v="32.700000000000003"/>
    <n v="39.700000000000003"/>
    <n v="38.700000000000003"/>
    <x v="4"/>
  </r>
  <r>
    <x v="0"/>
    <s v="Mexico"/>
    <s v="SH_SH_small_hydrophobic_protein_4278:4472_forward"/>
    <n v="195"/>
    <n v="0.68400000000000005"/>
    <n v="32.299999999999997"/>
    <n v="26.2"/>
    <n v="30.8"/>
    <n v="40"/>
    <n v="44.5"/>
    <n v="28.5"/>
    <x v="5"/>
  </r>
  <r>
    <x v="0"/>
    <s v="Mexico"/>
    <s v="G_G_attachment_glycoprotein_4663:5556_forward"/>
    <n v="894"/>
    <n v="0.746"/>
    <n v="42.1"/>
    <n v="33.200000000000003"/>
    <n v="48"/>
    <n v="45"/>
    <n v="44.8"/>
    <n v="40.6"/>
    <x v="6"/>
  </r>
  <r>
    <x v="0"/>
    <s v="Mexico"/>
    <s v="F_F_fusion_glycoprotein_5636:7360_forward"/>
    <n v="1725"/>
    <n v="0.68799999999999994"/>
    <n v="35.200000000000003"/>
    <n v="37.6"/>
    <n v="37.4"/>
    <n v="30.6"/>
    <n v="45.9"/>
    <n v="37.5"/>
    <x v="7"/>
  </r>
  <r>
    <x v="0"/>
    <s v="Mexico"/>
    <s v="M2-1_M2-1_M2-1_protein_7579:8163_forward"/>
    <n v="585"/>
    <n v="0.73099999999999998"/>
    <n v="36.4"/>
    <n v="39"/>
    <n v="34.9"/>
    <n v="35.4"/>
    <n v="48.9"/>
    <n v="36.950000000000003"/>
    <x v="8"/>
  </r>
  <r>
    <x v="0"/>
    <s v="Mexico"/>
    <s v="M2-2_M2-2_M2-2_protein_8138:8404_forward"/>
    <n v="267"/>
    <n v="0.64100000000000001"/>
    <n v="28.8"/>
    <n v="37.1"/>
    <n v="25.8"/>
    <n v="23.6"/>
    <n v="43.1"/>
    <n v="31.450000000000003"/>
    <x v="9"/>
  </r>
  <r>
    <x v="0"/>
    <s v="Mexico"/>
    <s v="L_L_RNA-dependent_RNA_polymerase_8471:14968_forward"/>
    <n v="6498"/>
    <n v="0.69399999999999995"/>
    <n v="31"/>
    <n v="36"/>
    <n v="31"/>
    <n v="25.9"/>
    <n v="41.7"/>
    <n v="33.5"/>
    <x v="10"/>
  </r>
  <r>
    <x v="0"/>
    <s v="Netherlands"/>
    <s v="NS1_NS1_nonstructural_protein_1_70:489_forward"/>
    <n v="420"/>
    <n v="0.71"/>
    <n v="31"/>
    <n v="35"/>
    <n v="29.3"/>
    <n v="28.6"/>
    <n v="49.6"/>
    <n v="32.15"/>
    <x v="0"/>
  </r>
  <r>
    <x v="0"/>
    <s v="Netherlands"/>
    <s v="NS2_NS2_nonstructural_protein_2_601:975_forward"/>
    <n v="375"/>
    <n v="0.754"/>
    <n v="33.6"/>
    <n v="34.4"/>
    <n v="32"/>
    <n v="34.4"/>
    <n v="41.1"/>
    <n v="33.200000000000003"/>
    <x v="1"/>
  </r>
  <r>
    <x v="0"/>
    <s v="Netherlands"/>
    <s v="N_N_nucleoprotein_1113:2288_forward"/>
    <n v="1176"/>
    <n v="0.69699999999999995"/>
    <n v="37.1"/>
    <n v="47.7"/>
    <n v="33.9"/>
    <n v="29.6"/>
    <n v="46.4"/>
    <n v="40.799999999999997"/>
    <x v="2"/>
  </r>
  <r>
    <x v="0"/>
    <s v="Netherlands"/>
    <s v="P_P_phosphoprotein_2320:3045_forward"/>
    <n v="726"/>
    <n v="0.71"/>
    <n v="35.4"/>
    <n v="44.6"/>
    <n v="35.1"/>
    <n v="26.4"/>
    <n v="43.9"/>
    <n v="39.85"/>
    <x v="3"/>
  </r>
  <r>
    <x v="0"/>
    <s v="Netherlands"/>
    <s v="M_M_matrix_protein_3229:3999_forward"/>
    <n v="771"/>
    <n v="0.69099999999999995"/>
    <n v="36.299999999999997"/>
    <n v="41.2"/>
    <n v="35.799999999999997"/>
    <n v="31.9"/>
    <n v="40"/>
    <n v="38.5"/>
    <x v="4"/>
  </r>
  <r>
    <x v="0"/>
    <s v="Netherlands"/>
    <s v="SH_SH_small_hydrophobic_protein_4269:4463_forward"/>
    <n v="195"/>
    <n v="0.69199999999999995"/>
    <n v="32.799999999999997"/>
    <n v="27.7"/>
    <n v="30.8"/>
    <n v="40"/>
    <n v="45.6"/>
    <n v="29.25"/>
    <x v="5"/>
  </r>
  <r>
    <x v="0"/>
    <s v="Netherlands"/>
    <s v="G_G_attachment_glycoprotein_4655:5620_forward"/>
    <n v="966"/>
    <n v="0.74299999999999999"/>
    <n v="42"/>
    <n v="34.200000000000003"/>
    <n v="48.8"/>
    <n v="43.2"/>
    <n v="50.1"/>
    <n v="41.5"/>
    <x v="6"/>
  </r>
  <r>
    <x v="0"/>
    <s v="Netherlands"/>
    <s v="F_F_fusion_glycoprotein_5700:7424_forward"/>
    <n v="1725"/>
    <n v="0.69399999999999995"/>
    <n v="35.1"/>
    <n v="37.200000000000003"/>
    <n v="37.6"/>
    <n v="30.6"/>
    <n v="46"/>
    <n v="37.400000000000006"/>
    <x v="7"/>
  </r>
  <r>
    <x v="0"/>
    <s v="Netherlands"/>
    <s v="M2-1_M2-1_M2-1_protein_7643:8227_forward"/>
    <n v="585"/>
    <n v="0.73099999999999998"/>
    <n v="36.4"/>
    <n v="39"/>
    <n v="34.9"/>
    <n v="35.4"/>
    <n v="48"/>
    <n v="36.950000000000003"/>
    <x v="8"/>
  </r>
  <r>
    <x v="0"/>
    <s v="Netherlands"/>
    <s v="M2-2_M2-2_M2-2_protein_8202:8468_forward"/>
    <n v="267"/>
    <n v="0.63700000000000001"/>
    <n v="29.2"/>
    <n v="36"/>
    <n v="28.1"/>
    <n v="23.6"/>
    <n v="44.7"/>
    <n v="32.049999999999997"/>
    <x v="9"/>
  </r>
  <r>
    <x v="0"/>
    <s v="Netherlands"/>
    <s v="L_L_RNA-dependent_RNA_polymerase_8535:15032_forward"/>
    <n v="6498"/>
    <n v="0.69099999999999995"/>
    <n v="30.7"/>
    <n v="35.9"/>
    <n v="30.9"/>
    <n v="25.3"/>
    <n v="41.3"/>
    <n v="33.4"/>
    <x v="10"/>
  </r>
  <r>
    <x v="0"/>
    <s v="Peru"/>
    <s v="NS1_NS1_nonstructural_protein_1_82:501_forward"/>
    <n v="420"/>
    <n v="0.70699999999999996"/>
    <n v="30.7"/>
    <n v="35"/>
    <n v="29.3"/>
    <n v="27.9"/>
    <n v="48.6"/>
    <n v="32.15"/>
    <x v="0"/>
  </r>
  <r>
    <x v="0"/>
    <s v="Peru"/>
    <s v="NS2_NS2_nonstructural_protein_2_611:985_forward"/>
    <n v="375"/>
    <n v="0.76"/>
    <n v="34.700000000000003"/>
    <n v="34.4"/>
    <n v="32"/>
    <n v="37.6"/>
    <n v="42.8"/>
    <n v="33.200000000000003"/>
    <x v="1"/>
  </r>
  <r>
    <x v="0"/>
    <s v="Peru"/>
    <s v="N_N_nucleoprotein_1123:2298_forward"/>
    <n v="1176"/>
    <n v="0.70199999999999996"/>
    <n v="36.9"/>
    <n v="47.7"/>
    <n v="33.9"/>
    <n v="29.1"/>
    <n v="47.7"/>
    <n v="40.799999999999997"/>
    <x v="2"/>
  </r>
  <r>
    <x v="0"/>
    <s v="Peru"/>
    <s v="P_P_phosphoprotein_2330:3055_forward"/>
    <n v="726"/>
    <n v="0.71199999999999997"/>
    <n v="35.5"/>
    <n v="44.6"/>
    <n v="34.700000000000003"/>
    <n v="27.3"/>
    <n v="45.2"/>
    <n v="39.650000000000006"/>
    <x v="3"/>
  </r>
  <r>
    <x v="0"/>
    <s v="Peru"/>
    <s v="M_M_matrix_protein_3237:4007_forward"/>
    <n v="771"/>
    <n v="0.69899999999999995"/>
    <n v="36.799999999999997"/>
    <n v="41.6"/>
    <n v="36.200000000000003"/>
    <n v="32.700000000000003"/>
    <n v="40.200000000000003"/>
    <n v="38.900000000000006"/>
    <x v="4"/>
  </r>
  <r>
    <x v="0"/>
    <s v="Peru"/>
    <s v="SH_SH_small_hydrophobic_protein_4277:4471_forward"/>
    <n v="195"/>
    <n v="0.67800000000000005"/>
    <n v="31.3"/>
    <n v="26.2"/>
    <n v="30.8"/>
    <n v="36.9"/>
    <n v="45.4"/>
    <n v="28.5"/>
    <x v="5"/>
  </r>
  <r>
    <x v="0"/>
    <s v="Peru"/>
    <s v="G_G_attachment_glycoprotein_4662:5627_forward"/>
    <n v="966"/>
    <n v="0.748"/>
    <n v="42.9"/>
    <n v="35.1"/>
    <n v="48.8"/>
    <n v="44.7"/>
    <n v="50.3"/>
    <n v="41.95"/>
    <x v="6"/>
  </r>
  <r>
    <x v="0"/>
    <s v="Peru"/>
    <s v="F_F_fusion_glycoprotein_5707:7431_forward"/>
    <n v="1725"/>
    <n v="0.69099999999999995"/>
    <n v="35.299999999999997"/>
    <n v="37.4"/>
    <n v="37.6"/>
    <n v="31"/>
    <n v="47.1"/>
    <n v="37.5"/>
    <x v="7"/>
  </r>
  <r>
    <x v="0"/>
    <s v="Peru"/>
    <s v="M2-1_M2-1_M2-1_protein_7647:8231_forward"/>
    <n v="585"/>
    <n v="0.73"/>
    <n v="36.200000000000003"/>
    <n v="39.5"/>
    <n v="34.9"/>
    <n v="34.4"/>
    <n v="48.7"/>
    <n v="37.200000000000003"/>
    <x v="8"/>
  </r>
  <r>
    <x v="0"/>
    <s v="Peru"/>
    <s v="M2-2_M2-2_M2-2_protein_8206:8472_forward"/>
    <n v="267"/>
    <n v="0.63700000000000001"/>
    <n v="28.5"/>
    <n v="36"/>
    <n v="25.8"/>
    <n v="23.6"/>
    <n v="44.6"/>
    <n v="30.9"/>
    <x v="9"/>
  </r>
  <r>
    <x v="0"/>
    <s v="Peru"/>
    <s v="L_L_RNA-dependent_RNA_polymerase_8539:15036_forward"/>
    <n v="6498"/>
    <n v="0.69299999999999995"/>
    <n v="30.7"/>
    <n v="36.1"/>
    <n v="30.9"/>
    <n v="25.1"/>
    <n v="40.9"/>
    <n v="33.5"/>
    <x v="10"/>
  </r>
  <r>
    <x v="0"/>
    <s v="Russia"/>
    <s v="NS1_NS1_nonstructural_protein_1_70:489_forward"/>
    <n v="420"/>
    <n v="0.70599999999999996"/>
    <n v="30.5"/>
    <n v="35"/>
    <n v="29.3"/>
    <n v="27.1"/>
    <n v="48.5"/>
    <n v="32.15"/>
    <x v="0"/>
  </r>
  <r>
    <x v="0"/>
    <s v="Russia"/>
    <s v="NS2_NS2_nonstructural_protein_2_599:973_forward"/>
    <n v="375"/>
    <n v="0.76500000000000001"/>
    <n v="34.1"/>
    <n v="34.4"/>
    <n v="32"/>
    <n v="36"/>
    <n v="42.2"/>
    <n v="33.200000000000003"/>
    <x v="1"/>
  </r>
  <r>
    <x v="0"/>
    <s v="Russia"/>
    <s v="N_N_nucleoprotein_1111:2286_forward"/>
    <n v="1176"/>
    <n v="0.70199999999999996"/>
    <n v="37.1"/>
    <n v="47.7"/>
    <n v="33.9"/>
    <n v="29.6"/>
    <n v="45.4"/>
    <n v="40.799999999999997"/>
    <x v="2"/>
  </r>
  <r>
    <x v="0"/>
    <s v="Russia"/>
    <s v="P_P_phosphoprotein_2319:3044_forward"/>
    <n v="726"/>
    <n v="0.71699999999999997"/>
    <n v="35.5"/>
    <n v="44.6"/>
    <n v="35.1"/>
    <n v="26.9"/>
    <n v="43.7"/>
    <n v="39.85"/>
    <x v="3"/>
  </r>
  <r>
    <x v="0"/>
    <s v="Russia"/>
    <s v="M_M_matrix_protein_3227:3997_forward"/>
    <n v="771"/>
    <n v="0.69899999999999995"/>
    <n v="36.700000000000003"/>
    <n v="41.2"/>
    <n v="36.200000000000003"/>
    <n v="32.700000000000003"/>
    <n v="39.4"/>
    <n v="38.700000000000003"/>
    <x v="4"/>
  </r>
  <r>
    <x v="0"/>
    <s v="Russia"/>
    <s v="SH_SH_small_hydrophobic_protein_4267:4461_forward"/>
    <n v="195"/>
    <n v="0.67600000000000005"/>
    <n v="32.299999999999997"/>
    <n v="26.2"/>
    <n v="32.299999999999997"/>
    <n v="38.5"/>
    <n v="52.1"/>
    <n v="29.25"/>
    <x v="5"/>
  </r>
  <r>
    <x v="0"/>
    <s v="Russia"/>
    <s v="G_G_attachment_glycoprotein_4652:5617_forward"/>
    <n v="966"/>
    <n v="0.749"/>
    <n v="43.1"/>
    <n v="35.4"/>
    <n v="48.4"/>
    <n v="45.3"/>
    <n v="49.4"/>
    <n v="41.9"/>
    <x v="6"/>
  </r>
  <r>
    <x v="0"/>
    <s v="Russia"/>
    <s v="F_F_fusion_glycoprotein_5697:7421_forward"/>
    <n v="1725"/>
    <n v="0.68799999999999994"/>
    <n v="35.1"/>
    <n v="37.4"/>
    <n v="37.4"/>
    <n v="30.6"/>
    <n v="45.8"/>
    <n v="37.4"/>
    <x v="7"/>
  </r>
  <r>
    <x v="0"/>
    <s v="Russia"/>
    <s v="M2-1_M2-1_M2-1_protein_7640:8224_forward"/>
    <n v="585"/>
    <n v="0.73099999999999998"/>
    <n v="36.4"/>
    <n v="39"/>
    <n v="34.9"/>
    <n v="35.4"/>
    <n v="48"/>
    <n v="36.950000000000003"/>
    <x v="8"/>
  </r>
  <r>
    <x v="0"/>
    <s v="Russia"/>
    <s v="M2-2_M2-2_M2-2_protein_8199:8465_forward"/>
    <n v="267"/>
    <n v="0.63800000000000001"/>
    <n v="28.8"/>
    <n v="36"/>
    <n v="27"/>
    <n v="23.6"/>
    <n v="44.2"/>
    <n v="31.5"/>
    <x v="9"/>
  </r>
  <r>
    <x v="0"/>
    <s v="Russia"/>
    <s v="L_L_RNA-dependent_RNA_polymerase_8532:15029_forward"/>
    <n v="6498"/>
    <n v="0.69199999999999995"/>
    <n v="30.9"/>
    <n v="36.1"/>
    <n v="30.9"/>
    <n v="25.6"/>
    <n v="41.5"/>
    <n v="33.5"/>
    <x v="10"/>
  </r>
  <r>
    <x v="0"/>
    <s v="S. Africa"/>
    <s v="NS1_NS1_nonstructural_protein_1_93:512_forward"/>
    <n v="420"/>
    <n v="0.70599999999999996"/>
    <n v="30.5"/>
    <n v="35"/>
    <n v="29.3"/>
    <n v="27.1"/>
    <n v="48.1"/>
    <n v="32.15"/>
    <x v="0"/>
  </r>
  <r>
    <x v="0"/>
    <s v="S. Africa"/>
    <s v="NS2_NS2_nonstructural_protein_2_622:996_forward"/>
    <n v="375"/>
    <n v="0.745"/>
    <n v="33.6"/>
    <n v="34.4"/>
    <n v="31.2"/>
    <n v="35.200000000000003"/>
    <n v="41.7"/>
    <n v="32.799999999999997"/>
    <x v="1"/>
  </r>
  <r>
    <x v="0"/>
    <s v="S. Africa"/>
    <s v="N_N_nucleocapsid_protein_1134:2309_forward"/>
    <n v="1176"/>
    <n v="0.69399999999999995"/>
    <n v="36.799999999999997"/>
    <n v="48.2"/>
    <n v="33.9"/>
    <n v="28.3"/>
    <n v="45.1"/>
    <n v="41.05"/>
    <x v="2"/>
  </r>
  <r>
    <x v="0"/>
    <s v="S. Africa"/>
    <s v="P_P_phosphoprotein_2341:3066_forward"/>
    <n v="726"/>
    <n v="0.71899999999999997"/>
    <n v="36.1"/>
    <n v="45"/>
    <n v="35.1"/>
    <n v="28.1"/>
    <n v="43.3"/>
    <n v="40.049999999999997"/>
    <x v="3"/>
  </r>
  <r>
    <x v="0"/>
    <s v="S. Africa"/>
    <s v="M_M_matrix_protein_3249:4019_forward"/>
    <n v="771"/>
    <n v="0.69799999999999995"/>
    <n v="36.700000000000003"/>
    <n v="41.2"/>
    <n v="36.6"/>
    <n v="32.299999999999997"/>
    <n v="39.9"/>
    <n v="38.900000000000006"/>
    <x v="4"/>
  </r>
  <r>
    <x v="0"/>
    <s v="S. Africa"/>
    <s v="SH_SH_small_hydrophobic_protein_4289:4483_forward"/>
    <n v="195"/>
    <n v="0.68"/>
    <n v="31.8"/>
    <n v="26.2"/>
    <n v="30.8"/>
    <n v="38.5"/>
    <n v="45.4"/>
    <n v="28.5"/>
    <x v="5"/>
  </r>
  <r>
    <x v="0"/>
    <s v="S. Africa"/>
    <s v="G_G_attachment_glycoprotein_4675:5568_forward"/>
    <n v="894"/>
    <n v="0.751"/>
    <n v="41.7"/>
    <n v="34.200000000000003"/>
    <n v="48"/>
    <n v="43"/>
    <n v="48.9"/>
    <n v="41.1"/>
    <x v="6"/>
  </r>
  <r>
    <x v="0"/>
    <s v="S. Africa"/>
    <s v="F_F_fusion_protein_5648:7372_forward"/>
    <n v="1725"/>
    <n v="0.69099999999999995"/>
    <n v="35.700000000000003"/>
    <n v="37.6"/>
    <n v="37.700000000000003"/>
    <n v="31.7"/>
    <n v="44.4"/>
    <n v="37.650000000000006"/>
    <x v="7"/>
  </r>
  <r>
    <x v="0"/>
    <s v="S. Africa"/>
    <s v="M2-1_M2-1_M2-1_protein_7591:8175_forward"/>
    <n v="585"/>
    <n v="0.72799999999999998"/>
    <n v="36.6"/>
    <n v="39.5"/>
    <n v="34.9"/>
    <n v="35.4"/>
    <n v="48.3"/>
    <n v="37.200000000000003"/>
    <x v="8"/>
  </r>
  <r>
    <x v="0"/>
    <s v="S. Africa"/>
    <s v="M2-2_M2-2_M2-2_protein_8150:8416_forward"/>
    <n v="267"/>
    <n v="0.64200000000000002"/>
    <n v="30"/>
    <n v="36"/>
    <n v="28.1"/>
    <n v="25.8"/>
    <n v="44.4"/>
    <n v="32.049999999999997"/>
    <x v="9"/>
  </r>
  <r>
    <x v="0"/>
    <s v="S. Africa"/>
    <s v="L_L_large_polymerase_8483:14980_forward"/>
    <n v="6498"/>
    <n v="0.69299999999999995"/>
    <n v="30.6"/>
    <n v="35.799999999999997"/>
    <n v="30.8"/>
    <n v="25.2"/>
    <n v="41.3"/>
    <n v="33.299999999999997"/>
    <x v="10"/>
  </r>
  <r>
    <x v="0"/>
    <s v="S.Korea"/>
    <s v="NS1_NS1_nonstructural_protein_1_99:518_forward"/>
    <n v="420"/>
    <n v="0.70099999999999996"/>
    <n v="30.7"/>
    <n v="35"/>
    <n v="29.3"/>
    <n v="27.9"/>
    <n v="49.7"/>
    <n v="32.15"/>
    <x v="0"/>
  </r>
  <r>
    <x v="0"/>
    <s v="S.Korea"/>
    <s v="NS2_NS2_nonstructural_protein_2_628:1002_forward"/>
    <n v="375"/>
    <n v="0.74399999999999999"/>
    <n v="33.299999999999997"/>
    <n v="34.4"/>
    <n v="32"/>
    <n v="33.6"/>
    <n v="39.9"/>
    <n v="33.200000000000003"/>
    <x v="1"/>
  </r>
  <r>
    <x v="0"/>
    <s v="S.Korea"/>
    <s v="N_N_nucleoprotein_1143:2318_forward"/>
    <n v="1176"/>
    <n v="0.70099999999999996"/>
    <n v="36.6"/>
    <n v="47.7"/>
    <n v="33.9"/>
    <n v="28.1"/>
    <n v="45.2"/>
    <n v="40.799999999999997"/>
    <x v="2"/>
  </r>
  <r>
    <x v="0"/>
    <s v="S.Korea"/>
    <s v="P_P_phosphoprotein_2354:3079_forward"/>
    <n v="726"/>
    <n v="0.72"/>
    <n v="35.4"/>
    <n v="44.6"/>
    <n v="34.700000000000003"/>
    <n v="26.9"/>
    <n v="43.2"/>
    <n v="39.650000000000006"/>
    <x v="3"/>
  </r>
  <r>
    <x v="0"/>
    <s v="S.Korea"/>
    <s v="M_M_matrix_protein_3263:4033_forward"/>
    <n v="771"/>
    <n v="0.69199999999999995"/>
    <n v="36.4"/>
    <n v="41.2"/>
    <n v="36.200000000000003"/>
    <n v="31.9"/>
    <n v="39"/>
    <n v="38.700000000000003"/>
    <x v="4"/>
  </r>
  <r>
    <x v="0"/>
    <s v="S.Korea"/>
    <s v="SH_SH_small_hydrophobic_protein_4303:4497_forward"/>
    <n v="195"/>
    <n v="0.69399999999999995"/>
    <n v="32.299999999999997"/>
    <n v="24.6"/>
    <n v="30.8"/>
    <n v="41.5"/>
    <n v="58.2"/>
    <n v="27.700000000000003"/>
    <x v="5"/>
  </r>
  <r>
    <x v="0"/>
    <s v="S.Korea"/>
    <s v="G_G_attachment_glycoprotein_4691:5584_forward"/>
    <n v="894"/>
    <n v="0.75"/>
    <n v="42.2"/>
    <n v="33.200000000000003"/>
    <n v="48"/>
    <n v="45.3"/>
    <n v="49.9"/>
    <n v="40.6"/>
    <x v="6"/>
  </r>
  <r>
    <x v="0"/>
    <s v="S.Korea"/>
    <s v="F_F_fusion_glycoprotein_5667:7391_forward"/>
    <n v="1725"/>
    <n v="0.69199999999999995"/>
    <n v="35.1"/>
    <n v="37.200000000000003"/>
    <n v="37.200000000000003"/>
    <n v="31"/>
    <n v="46.4"/>
    <n v="37.200000000000003"/>
    <x v="7"/>
  </r>
  <r>
    <x v="0"/>
    <s v="S.Korea"/>
    <s v="M2-1_M2-1_M2-1_protein_7610:8194_forward"/>
    <n v="585"/>
    <n v="0.73099999999999998"/>
    <n v="36.6"/>
    <n v="39"/>
    <n v="34.9"/>
    <n v="35.9"/>
    <n v="48.7"/>
    <n v="36.950000000000003"/>
    <x v="8"/>
  </r>
  <r>
    <x v="0"/>
    <s v="S.Korea"/>
    <s v="M2-2_M2-2_M2-2_protein_8169:8435_forward"/>
    <n v="267"/>
    <n v="0.63900000000000001"/>
    <n v="28.8"/>
    <n v="37.1"/>
    <n v="27"/>
    <n v="22.5"/>
    <n v="41.6"/>
    <n v="32.049999999999997"/>
    <x v="9"/>
  </r>
  <r>
    <x v="0"/>
    <s v="S.Korea"/>
    <s v="L_L_RNA-dependent_RNA_polymerase_8502:14999_forward"/>
    <n v="6498"/>
    <n v="0.69099999999999995"/>
    <n v="30.9"/>
    <n v="35.9"/>
    <n v="31"/>
    <n v="25.8"/>
    <n v="41.6"/>
    <n v="33.450000000000003"/>
    <x v="10"/>
  </r>
  <r>
    <x v="0"/>
    <s v="Thiland"/>
    <s v="NS1_NS1_nonstructural_protein_1_82:501_forward"/>
    <n v="420"/>
    <n v="0.70599999999999996"/>
    <n v="30.5"/>
    <n v="35"/>
    <n v="29.3"/>
    <n v="27.1"/>
    <n v="48.1"/>
    <n v="32.15"/>
    <x v="0"/>
  </r>
  <r>
    <x v="0"/>
    <s v="Thiland"/>
    <s v="NS2_NS2_nonstructural_protein_2_611:985_forward"/>
    <n v="375"/>
    <n v="0.75800000000000001"/>
    <n v="34.1"/>
    <n v="34.4"/>
    <n v="32"/>
    <n v="36"/>
    <n v="41.8"/>
    <n v="33.200000000000003"/>
    <x v="1"/>
  </r>
  <r>
    <x v="0"/>
    <s v="Thiland"/>
    <s v="N_N_nucleocapsid_protein_1123:2298_forward"/>
    <n v="1176"/>
    <n v="0.70299999999999996"/>
    <n v="36.799999999999997"/>
    <n v="47.7"/>
    <n v="33.9"/>
    <n v="28.8"/>
    <n v="45.7"/>
    <n v="40.799999999999997"/>
    <x v="2"/>
  </r>
  <r>
    <x v="0"/>
    <s v="Thiland"/>
    <s v="P_P_phosphoprotein_2330:3055_forward"/>
    <n v="726"/>
    <n v="0.71899999999999997"/>
    <n v="36"/>
    <n v="44.6"/>
    <n v="34.700000000000003"/>
    <n v="28.5"/>
    <n v="44.4"/>
    <n v="39.650000000000006"/>
    <x v="3"/>
  </r>
  <r>
    <x v="0"/>
    <s v="Thiland"/>
    <s v="M_M_matrix_protein_3239:4009_forward"/>
    <n v="771"/>
    <n v="0.68700000000000006"/>
    <n v="36.200000000000003"/>
    <n v="41.2"/>
    <n v="36.200000000000003"/>
    <n v="31.1"/>
    <n v="38.700000000000003"/>
    <n v="38.700000000000003"/>
    <x v="4"/>
  </r>
  <r>
    <x v="0"/>
    <s v="Thiland"/>
    <s v="SH_SH_small_hydrophobic_protein_4279:4473_forward"/>
    <n v="195"/>
    <n v="0.68799999999999994"/>
    <n v="32.299999999999997"/>
    <n v="26.2"/>
    <n v="30.8"/>
    <n v="40"/>
    <n v="61"/>
    <n v="28.5"/>
    <x v="5"/>
  </r>
  <r>
    <x v="0"/>
    <s v="Thiland"/>
    <s v="G_G_attachment_glycoprotein_4665:5630_forward"/>
    <n v="966"/>
    <n v="0.752"/>
    <n v="43"/>
    <n v="35.1"/>
    <n v="48.8"/>
    <n v="45"/>
    <n v="54.2"/>
    <n v="41.95"/>
    <x v="6"/>
  </r>
  <r>
    <x v="0"/>
    <s v="Thiland"/>
    <s v="F_F_fusion_protein_5710:7434_forward"/>
    <n v="1725"/>
    <n v="0.69099999999999995"/>
    <n v="35.1"/>
    <n v="37.200000000000003"/>
    <n v="37.200000000000003"/>
    <n v="31"/>
    <n v="46.7"/>
    <n v="37.200000000000003"/>
    <x v="7"/>
  </r>
  <r>
    <x v="0"/>
    <s v="Thiland"/>
    <s v="M2-1_M2-1_M2-1_protein_7653:8237_forward"/>
    <n v="585"/>
    <n v="0.73199999999999998"/>
    <n v="36.6"/>
    <n v="39"/>
    <n v="34.9"/>
    <n v="35.9"/>
    <n v="49.6"/>
    <n v="36.950000000000003"/>
    <x v="8"/>
  </r>
  <r>
    <x v="0"/>
    <s v="Thiland"/>
    <s v="M2-2_M2-2_M2-2_protein_8212:8478_forward"/>
    <n v="267"/>
    <n v="0.63700000000000001"/>
    <n v="29.2"/>
    <n v="37.1"/>
    <n v="27"/>
    <n v="23.6"/>
    <n v="44.8"/>
    <n v="32.049999999999997"/>
    <x v="9"/>
  </r>
  <r>
    <x v="0"/>
    <s v="Thiland"/>
    <s v="L_L_large_polymerase_8545:15042_forward"/>
    <n v="6498"/>
    <n v="0.69099999999999995"/>
    <n v="30.7"/>
    <n v="35.9"/>
    <n v="30.9"/>
    <n v="25.3"/>
    <n v="41.1"/>
    <n v="33.4"/>
    <x v="10"/>
  </r>
  <r>
    <x v="0"/>
    <s v="USA"/>
    <s v="NS1_NS1_nonstructural_protein_1_87:506_forward"/>
    <n v="420"/>
    <n v="0.70699999999999996"/>
    <n v="30.7"/>
    <n v="35"/>
    <n v="29.3"/>
    <n v="27.9"/>
    <n v="48.6"/>
    <n v="32.15"/>
    <x v="0"/>
  </r>
  <r>
    <x v="0"/>
    <s v="USA"/>
    <s v="NS2_NS2_nonstructural_protein_2_616:990_forward"/>
    <n v="375"/>
    <n v="0.76"/>
    <n v="34.700000000000003"/>
    <n v="34.4"/>
    <n v="32"/>
    <n v="37.6"/>
    <n v="42.8"/>
    <n v="33.200000000000003"/>
    <x v="1"/>
  </r>
  <r>
    <x v="0"/>
    <s v="USA"/>
    <s v="N_N_nucleoprotein_1128:2303_forward"/>
    <n v="1176"/>
    <n v="0.70199999999999996"/>
    <n v="37"/>
    <n v="47.7"/>
    <n v="33.9"/>
    <n v="29.3"/>
    <n v="47.9"/>
    <n v="40.799999999999997"/>
    <x v="2"/>
  </r>
  <r>
    <x v="0"/>
    <s v="USA"/>
    <s v="P_P_phosphoprotein_2335:3060_forward"/>
    <n v="726"/>
    <n v="0.71199999999999997"/>
    <n v="35.4"/>
    <n v="44.6"/>
    <n v="34.700000000000003"/>
    <n v="26.9"/>
    <n v="44.9"/>
    <n v="39.650000000000006"/>
    <x v="3"/>
  </r>
  <r>
    <x v="0"/>
    <s v="USA"/>
    <s v="M_M_matrix_protein_3243:4013_forward"/>
    <n v="771"/>
    <n v="0.69799999999999995"/>
    <n v="36.700000000000003"/>
    <n v="41.6"/>
    <n v="36.200000000000003"/>
    <n v="32.299999999999997"/>
    <n v="40.200000000000003"/>
    <n v="38.900000000000006"/>
    <x v="4"/>
  </r>
  <r>
    <x v="0"/>
    <s v="USA"/>
    <s v="SH_SH_small_hydrophobic_protein_4283:4477_forward"/>
    <n v="195"/>
    <n v="0.67800000000000005"/>
    <n v="31.3"/>
    <n v="26.2"/>
    <n v="30.8"/>
    <n v="36.9"/>
    <n v="45.4"/>
    <n v="28.5"/>
    <x v="5"/>
  </r>
  <r>
    <x v="0"/>
    <s v="USA"/>
    <s v="G_G_attachment_glycoprotein_4668:5633_forward"/>
    <n v="966"/>
    <n v="0.753"/>
    <n v="42.7"/>
    <n v="35.1"/>
    <n v="48.1"/>
    <n v="44.7"/>
    <n v="48.9"/>
    <n v="41.6"/>
    <x v="6"/>
  </r>
  <r>
    <x v="0"/>
    <s v="USA"/>
    <s v="F_F_fusion_glycoprotein_5713:7437_forward"/>
    <n v="1725"/>
    <n v="0.68899999999999995"/>
    <n v="35.200000000000003"/>
    <n v="37.4"/>
    <n v="37.4"/>
    <n v="30.8"/>
    <n v="47.5"/>
    <n v="37.4"/>
    <x v="7"/>
  </r>
  <r>
    <x v="0"/>
    <s v="USA"/>
    <s v="M2-1_M2-1_M2-1_protein_7656:8240_forward"/>
    <n v="585"/>
    <n v="0.73099999999999998"/>
    <n v="36.4"/>
    <n v="39.5"/>
    <n v="34.9"/>
    <n v="34.9"/>
    <n v="48.9"/>
    <n v="37.200000000000003"/>
    <x v="8"/>
  </r>
  <r>
    <x v="0"/>
    <s v="USA"/>
    <s v="M2-2_M2-2_M2-2_protein_8215:8481_forward"/>
    <n v="267"/>
    <n v="0.63700000000000001"/>
    <n v="28.5"/>
    <n v="36"/>
    <n v="25.8"/>
    <n v="23.6"/>
    <n v="44.6"/>
    <n v="30.9"/>
    <x v="9"/>
  </r>
  <r>
    <x v="0"/>
    <s v="USA"/>
    <s v="L_L_RNA-dependent_RNA_polymerase_8548:15048_forward"/>
    <n v="6501"/>
    <n v="0.69099999999999995"/>
    <n v="30.7"/>
    <n v="36"/>
    <n v="31"/>
    <n v="25"/>
    <n v="41"/>
    <n v="33.5"/>
    <x v="10"/>
  </r>
  <r>
    <x v="1"/>
    <s v="Argentina"/>
    <s v="NS1_NS1_nonstructural_protein_1_57:476_forward"/>
    <n v="420"/>
    <n v="0.68300000000000005"/>
    <n v="30.2"/>
    <n v="36.4"/>
    <n v="30"/>
    <n v="24.3"/>
    <n v="37.799999999999997"/>
    <n v="33.200000000000003"/>
    <x v="0"/>
  </r>
  <r>
    <x v="1"/>
    <s v="Argentina"/>
    <s v="NS2_NS2_nonstructural_protein_2_584:958_forward"/>
    <n v="375"/>
    <n v="0.73499999999999999"/>
    <n v="34.9"/>
    <n v="31.2"/>
    <n v="31.2"/>
    <n v="42.4"/>
    <n v="37.1"/>
    <n v="31.2"/>
    <x v="1"/>
  </r>
  <r>
    <x v="1"/>
    <s v="Argentina"/>
    <s v="N_N_nucleoprotein_1097:2272_forward"/>
    <n v="1176"/>
    <n v="0.67500000000000004"/>
    <n v="37"/>
    <n v="48.7"/>
    <n v="33.4"/>
    <n v="28.8"/>
    <n v="44.5"/>
    <n v="41.05"/>
    <x v="2"/>
  </r>
  <r>
    <x v="1"/>
    <s v="Argentina"/>
    <s v="P_P_phosphoprotein_2305:3030_forward"/>
    <n v="726"/>
    <n v="0.73899999999999999"/>
    <n v="37.5"/>
    <n v="43.8"/>
    <n v="36.4"/>
    <n v="32.200000000000003"/>
    <n v="46.5"/>
    <n v="40.099999999999994"/>
    <x v="3"/>
  </r>
  <r>
    <x v="1"/>
    <s v="Argentina"/>
    <s v="M_M_matrix_protein_3220:3990_forward"/>
    <n v="771"/>
    <n v="0.70299999999999996"/>
    <n v="37.4"/>
    <n v="41.2"/>
    <n v="37"/>
    <n v="33.9"/>
    <n v="49.4"/>
    <n v="39.1"/>
    <x v="4"/>
  </r>
  <r>
    <x v="1"/>
    <s v="Argentina"/>
    <s v="SH_SH_small_hydrophobic_protein_4259:4456_forward"/>
    <n v="198"/>
    <n v="0.65"/>
    <n v="29.8"/>
    <n v="28.8"/>
    <n v="27.3"/>
    <n v="33.299999999999997"/>
    <n v="33.9"/>
    <n v="28.05"/>
    <x v="5"/>
  </r>
  <r>
    <x v="1"/>
    <s v="Argentina"/>
    <s v="G_G_attachment_glycoprotein_4646:5578_forward"/>
    <n v="933"/>
    <n v="0.749"/>
    <n v="40.9"/>
    <n v="36"/>
    <n v="49.2"/>
    <n v="37.6"/>
    <n v="45.2"/>
    <n v="42.6"/>
    <x v="6"/>
  </r>
  <r>
    <x v="1"/>
    <s v="Argentina"/>
    <s v="F_F_fusion_glycoprotein_5676:7400_forward"/>
    <n v="1725"/>
    <n v="0.69199999999999995"/>
    <n v="34.700000000000003"/>
    <n v="36.700000000000003"/>
    <n v="36.5"/>
    <n v="30.8"/>
    <n v="48.3"/>
    <n v="36.6"/>
    <x v="7"/>
  </r>
  <r>
    <x v="1"/>
    <s v="Argentina"/>
    <s v="M2_M2_M2-1_protein_7627:8214_forward"/>
    <n v="588"/>
    <n v="0.73599999999999999"/>
    <n v="36.4"/>
    <n v="38.299999999999997"/>
    <n v="34.200000000000003"/>
    <n v="36.700000000000003"/>
    <n v="45"/>
    <n v="36.25"/>
    <x v="8"/>
  </r>
  <r>
    <x v="1"/>
    <s v="Argentina"/>
    <s v="M2_M2_M2-2_protein_8180:8452_forward"/>
    <n v="273"/>
    <n v="0.68799999999999994"/>
    <n v="27.8"/>
    <n v="33"/>
    <n v="24.2"/>
    <n v="26.4"/>
    <n v="44.3"/>
    <n v="28.6"/>
    <x v="9"/>
  </r>
  <r>
    <x v="1"/>
    <s v="Argentina"/>
    <s v="L_L_RNA-dependent_RNA_polymerase_8518:15018_forward"/>
    <n v="6501"/>
    <n v="0.69599999999999995"/>
    <n v="31.3"/>
    <n v="36.5"/>
    <n v="31.4"/>
    <n v="25.9"/>
    <n v="43"/>
    <n v="33.950000000000003"/>
    <x v="10"/>
  </r>
  <r>
    <x v="1"/>
    <s v="Austrailia"/>
    <s v="NS1_NS1_nonstructural_protein_1_57:476_forward"/>
    <n v="420"/>
    <n v="0.68200000000000005"/>
    <n v="30.2"/>
    <n v="36.4"/>
    <n v="30"/>
    <n v="24.3"/>
    <n v="37.799999999999997"/>
    <n v="33.200000000000003"/>
    <x v="0"/>
  </r>
  <r>
    <x v="1"/>
    <s v="Austrailia"/>
    <s v="NS2_NS2_nonstructural_protein_2_584:958_forward"/>
    <n v="375"/>
    <n v="0.73899999999999999"/>
    <n v="34.9"/>
    <n v="31.2"/>
    <n v="31.2"/>
    <n v="42.4"/>
    <n v="41.1"/>
    <n v="31.2"/>
    <x v="1"/>
  </r>
  <r>
    <x v="1"/>
    <s v="Austrailia"/>
    <s v="N_N_nucleocapsid_protein_1097:2272_forward"/>
    <n v="1176"/>
    <n v="0.67600000000000005"/>
    <n v="37.200000000000003"/>
    <n v="49.2"/>
    <n v="33.4"/>
    <n v="29.1"/>
    <n v="44.5"/>
    <n v="41.3"/>
    <x v="2"/>
  </r>
  <r>
    <x v="1"/>
    <s v="Austrailia"/>
    <s v="P_P_phosphoprotein_2305:3030_forward"/>
    <n v="726"/>
    <n v="0.73499999999999999"/>
    <n v="37.700000000000003"/>
    <n v="44.2"/>
    <n v="36.4"/>
    <n v="32.6"/>
    <n v="46.1"/>
    <n v="40.299999999999997"/>
    <x v="3"/>
  </r>
  <r>
    <x v="1"/>
    <s v="Austrailia"/>
    <s v="M_M_matrix_protein_3154:3990_forward"/>
    <n v="837"/>
    <n v="0.70399999999999996"/>
    <n v="36.799999999999997"/>
    <n v="41.6"/>
    <n v="35.5"/>
    <n v="33.299999999999997"/>
    <n v="50.1"/>
    <n v="38.549999999999997"/>
    <x v="4"/>
  </r>
  <r>
    <x v="1"/>
    <s v="Austrailia"/>
    <s v="SH_SH_small_hydrophobic_protein_4259:4456_forward"/>
    <n v="198"/>
    <n v="0.65"/>
    <n v="29.8"/>
    <n v="28.8"/>
    <n v="27.3"/>
    <n v="33.299999999999997"/>
    <n v="33.9"/>
    <n v="28.05"/>
    <x v="5"/>
  </r>
  <r>
    <x v="1"/>
    <s v="Austrailia"/>
    <s v="G_G_attachment_glycoprotein_4646:5578_forward"/>
    <n v="933"/>
    <n v="0.745"/>
    <n v="40"/>
    <n v="34.700000000000003"/>
    <n v="48.9"/>
    <n v="36.299999999999997"/>
    <n v="44.8"/>
    <n v="41.8"/>
    <x v="6"/>
  </r>
  <r>
    <x v="1"/>
    <s v="Austrailia"/>
    <s v="F_F_fusion_glycoprotein_5676:7400_forward"/>
    <n v="1725"/>
    <n v="0.69599999999999995"/>
    <n v="34.700000000000003"/>
    <n v="36.299999999999997"/>
    <n v="36.9"/>
    <n v="30.8"/>
    <n v="48"/>
    <n v="36.599999999999994"/>
    <x v="7"/>
  </r>
  <r>
    <x v="1"/>
    <s v="Austrailia"/>
    <s v="M2-1_M2-1_transcription_elongation_factor_M2-1_7627:8214_forward"/>
    <n v="588"/>
    <n v="0.73299999999999998"/>
    <n v="36.1"/>
    <n v="38.299999999999997"/>
    <n v="34.200000000000003"/>
    <n v="35.700000000000003"/>
    <n v="44.7"/>
    <n v="36.25"/>
    <x v="8"/>
  </r>
  <r>
    <x v="1"/>
    <s v="Austrailia"/>
    <s v="M2-2_M2-2_transcription_elongation_factor_M2-2_8180:8452_forward"/>
    <n v="273"/>
    <n v="0.69299999999999995"/>
    <n v="28.2"/>
    <n v="35.200000000000003"/>
    <n v="23.1"/>
    <n v="26.4"/>
    <n v="37.4"/>
    <n v="29.150000000000002"/>
    <x v="9"/>
  </r>
  <r>
    <x v="1"/>
    <s v="Austrailia"/>
    <s v="L_L_RNA-directed_RNA_polymerase_8518:15018_forward"/>
    <n v="6501"/>
    <n v="0.69499999999999995"/>
    <n v="31.2"/>
    <n v="36.5"/>
    <n v="31.5"/>
    <n v="25.6"/>
    <n v="42.9"/>
    <n v="34"/>
    <x v="10"/>
  </r>
  <r>
    <x v="1"/>
    <s v="Brazil"/>
    <s v="NS1_NS1_nonstructural_protein_1_91:510_forward"/>
    <n v="420"/>
    <n v="0.68"/>
    <n v="30.2"/>
    <n v="36.4"/>
    <n v="30"/>
    <n v="24.3"/>
    <n v="37.9"/>
    <n v="33.200000000000003"/>
    <x v="0"/>
  </r>
  <r>
    <x v="1"/>
    <s v="Brazil"/>
    <s v="NS2_NS2_nonstructural_protein_2_618:992_forward"/>
    <n v="375"/>
    <n v="0.73199999999999998"/>
    <n v="33.9"/>
    <n v="30.4"/>
    <n v="31.2"/>
    <n v="40"/>
    <n v="43.6"/>
    <n v="30.799999999999997"/>
    <x v="1"/>
  </r>
  <r>
    <x v="1"/>
    <s v="Brazil"/>
    <s v="N_N_nucleoprotein_1132:2307_forward"/>
    <n v="1176"/>
    <n v="0.68"/>
    <n v="37.4"/>
    <n v="49"/>
    <n v="33.4"/>
    <n v="29.8"/>
    <n v="45.5"/>
    <n v="41.2"/>
    <x v="2"/>
  </r>
  <r>
    <x v="1"/>
    <s v="Brazil"/>
    <s v="P_P_phosphoprotein_2340:3065_forward"/>
    <n v="726"/>
    <n v="0.73499999999999999"/>
    <n v="37.5"/>
    <n v="44.2"/>
    <n v="36.4"/>
    <n v="31.8"/>
    <n v="45.4"/>
    <n v="40.299999999999997"/>
    <x v="3"/>
  </r>
  <r>
    <x v="1"/>
    <s v="Brazil"/>
    <s v="M_M_matrix_protein_3255:4025_forward"/>
    <n v="771"/>
    <n v="0.69"/>
    <n v="36.799999999999997"/>
    <n v="41.6"/>
    <n v="36.6"/>
    <n v="32.299999999999997"/>
    <n v="49.4"/>
    <n v="39.1"/>
    <x v="4"/>
  </r>
  <r>
    <x v="1"/>
    <s v="Brazil"/>
    <s v="SH_SH_small_hydrophobic_protein_4294:4491_forward"/>
    <n v="198"/>
    <n v="0.64600000000000002"/>
    <n v="28.3"/>
    <n v="27.3"/>
    <n v="27.3"/>
    <n v="30.3"/>
    <n v="32.9"/>
    <n v="27.3"/>
    <x v="5"/>
  </r>
  <r>
    <x v="1"/>
    <s v="Brazil"/>
    <s v="G_G_attachment_glycoprotein_4681:5634_forward"/>
    <n v="954"/>
    <n v="0.74199999999999999"/>
    <n v="40.1"/>
    <n v="34.9"/>
    <n v="48.4"/>
    <n v="37.1"/>
    <n v="44.1"/>
    <n v="41.65"/>
    <x v="6"/>
  </r>
  <r>
    <x v="1"/>
    <s v="Brazil"/>
    <s v="F_F_fusion_protein_5711:7435_forward"/>
    <n v="1725"/>
    <n v="0.69599999999999995"/>
    <n v="34.799999999999997"/>
    <n v="36.299999999999997"/>
    <n v="36.9"/>
    <n v="31.1"/>
    <n v="48.1"/>
    <n v="36.599999999999994"/>
    <x v="7"/>
  </r>
  <r>
    <x v="1"/>
    <s v="Brazil"/>
    <s v="M2-1_M2-1_matrix_protein_2-1_7662:8249_forward"/>
    <n v="588"/>
    <n v="0.73399999999999999"/>
    <n v="36.700000000000003"/>
    <n v="38.799999999999997"/>
    <n v="34.200000000000003"/>
    <n v="37.200000000000003"/>
    <n v="45.9"/>
    <n v="36.5"/>
    <x v="8"/>
  </r>
  <r>
    <x v="1"/>
    <s v="Brazil"/>
    <s v="M2-2_M2-2_matrix_protein_2-2_8215:8487_forward"/>
    <n v="273"/>
    <n v="0.69699999999999995"/>
    <n v="28.9"/>
    <n v="35.200000000000003"/>
    <n v="24.2"/>
    <n v="27.5"/>
    <n v="42.9"/>
    <n v="29.700000000000003"/>
    <x v="9"/>
  </r>
  <r>
    <x v="1"/>
    <s v="Brazil"/>
    <s v="L_L_RNA-directed_RNA_polymerase_8553:15053_forward"/>
    <n v="6501"/>
    <n v="0.69399999999999995"/>
    <n v="31.2"/>
    <n v="36.5"/>
    <n v="31.4"/>
    <n v="25.8"/>
    <n v="43"/>
    <n v="33.950000000000003"/>
    <x v="10"/>
  </r>
  <r>
    <x v="1"/>
    <s v="Canada"/>
    <s v="NS1_NS1_nonstructural_protein_1_70:489_forward"/>
    <n v="420"/>
    <n v="0.68200000000000005"/>
    <n v="30.2"/>
    <n v="36.4"/>
    <n v="30"/>
    <n v="24.3"/>
    <n v="37.799999999999997"/>
    <n v="33.200000000000003"/>
    <x v="0"/>
  </r>
  <r>
    <x v="1"/>
    <s v="Canada"/>
    <s v="NS2_NS2_nonstructural_protein_2_597:971_forward"/>
    <n v="375"/>
    <n v="0.73799999999999999"/>
    <n v="34.4"/>
    <n v="30.4"/>
    <n v="30.4"/>
    <n v="42.4"/>
    <n v="41.1"/>
    <n v="30.4"/>
    <x v="1"/>
  </r>
  <r>
    <x v="1"/>
    <s v="Canada"/>
    <s v="N_N_nucleoprotein_1110:2285_forward"/>
    <n v="1176"/>
    <n v="0.68"/>
    <n v="37.299999999999997"/>
    <n v="48.7"/>
    <n v="33.4"/>
    <n v="29.8"/>
    <n v="44.7"/>
    <n v="41.05"/>
    <x v="2"/>
  </r>
  <r>
    <x v="1"/>
    <s v="Canada"/>
    <s v="P_P_phosphoprotein_2318:3043_forward"/>
    <n v="726"/>
    <n v="0.73399999999999999"/>
    <n v="37.9"/>
    <n v="44.2"/>
    <n v="36.4"/>
    <n v="33.1"/>
    <n v="46.1"/>
    <n v="40.299999999999997"/>
    <x v="3"/>
  </r>
  <r>
    <x v="1"/>
    <s v="Canada"/>
    <s v="M_M_matrix_protein_3233:4003_forward"/>
    <n v="771"/>
    <n v="0.70099999999999996"/>
    <n v="37.200000000000003"/>
    <n v="41.2"/>
    <n v="37"/>
    <n v="33.5"/>
    <n v="49.4"/>
    <n v="39.1"/>
    <x v="4"/>
  </r>
  <r>
    <x v="1"/>
    <s v="Canada"/>
    <s v="SH_SH_small_hydrophobic_protein_4272:4469_forward"/>
    <n v="198"/>
    <n v="0.65"/>
    <n v="29.8"/>
    <n v="28.8"/>
    <n v="27.3"/>
    <n v="33.299999999999997"/>
    <n v="33.9"/>
    <n v="28.05"/>
    <x v="5"/>
  </r>
  <r>
    <x v="1"/>
    <s v="Canada"/>
    <s v="G_G_attachment_glycoprotein_4658:5590_forward"/>
    <n v="933"/>
    <n v="0.74299999999999999"/>
    <n v="40.6"/>
    <n v="35.4"/>
    <n v="49.2"/>
    <n v="37.299999999999997"/>
    <n v="44.8"/>
    <n v="42.3"/>
    <x v="6"/>
  </r>
  <r>
    <x v="1"/>
    <s v="Canada"/>
    <s v="F_F_fusion_glycoprotein_5688:7412_forward"/>
    <n v="1725"/>
    <n v="0.69599999999999995"/>
    <n v="34.700000000000003"/>
    <n v="36.299999999999997"/>
    <n v="36.9"/>
    <n v="31"/>
    <n v="47.1"/>
    <n v="36.599999999999994"/>
    <x v="7"/>
  </r>
  <r>
    <x v="1"/>
    <s v="Canada"/>
    <s v="M2_M2_M2-1_protein_7639:8226_forward"/>
    <n v="588"/>
    <n v="0.73399999999999999"/>
    <n v="36.200000000000003"/>
    <n v="38.299999999999997"/>
    <n v="34.200000000000003"/>
    <n v="36.200000000000003"/>
    <n v="44.8"/>
    <n v="36.25"/>
    <x v="8"/>
  </r>
  <r>
    <x v="1"/>
    <s v="Canada"/>
    <s v="M2_M2_M2-2_protein_8192:8464_forward"/>
    <n v="273"/>
    <n v="0.69"/>
    <n v="29.7"/>
    <n v="35.200000000000003"/>
    <n v="25.3"/>
    <n v="28.6"/>
    <n v="59.3"/>
    <n v="30.25"/>
    <x v="9"/>
  </r>
  <r>
    <x v="1"/>
    <s v="Canada"/>
    <s v="L_L_RNA-dependent_RNA_polymerase_8530:15030_forward"/>
    <n v="6501"/>
    <n v="0.69499999999999995"/>
    <n v="31.2"/>
    <n v="36.5"/>
    <n v="31.5"/>
    <n v="25.7"/>
    <n v="42.9"/>
    <n v="34"/>
    <x v="10"/>
  </r>
  <r>
    <x v="1"/>
    <s v="China"/>
    <s v="NS1_NS1_nonstructural_protein_1_16:435_forward"/>
    <n v="420"/>
    <n v="0.68400000000000005"/>
    <n v="30.5"/>
    <n v="35.700000000000003"/>
    <n v="30"/>
    <n v="25.7"/>
    <n v="38.4"/>
    <n v="32.85"/>
    <x v="0"/>
  </r>
  <r>
    <x v="1"/>
    <s v="China"/>
    <s v="NS2_NS2_nonstructural_protein_2_543:917_forward"/>
    <n v="375"/>
    <n v="0.73699999999999999"/>
    <n v="34.700000000000003"/>
    <n v="31.2"/>
    <n v="31.2"/>
    <n v="41.6"/>
    <n v="41.1"/>
    <n v="31.2"/>
    <x v="1"/>
  </r>
  <r>
    <x v="1"/>
    <s v="China"/>
    <s v="N_N_nucleoprotein_1055:2230_forward"/>
    <n v="1176"/>
    <n v="0.67500000000000004"/>
    <n v="37"/>
    <n v="48.7"/>
    <n v="33.4"/>
    <n v="28.8"/>
    <n v="44.4"/>
    <n v="41.05"/>
    <x v="2"/>
  </r>
  <r>
    <x v="1"/>
    <s v="China"/>
    <s v="P_P_phosphoprotein_2263:2988_forward"/>
    <n v="726"/>
    <n v="0.74"/>
    <n v="37.9"/>
    <n v="43.8"/>
    <n v="36.4"/>
    <n v="33.5"/>
    <n v="46.3"/>
    <n v="40.099999999999994"/>
    <x v="3"/>
  </r>
  <r>
    <x v="1"/>
    <s v="China"/>
    <s v="M_M_matrix_protein_3178:3948_forward"/>
    <n v="771"/>
    <n v="0.70199999999999996"/>
    <n v="37.1"/>
    <n v="41.2"/>
    <n v="37"/>
    <n v="33.1"/>
    <n v="49.4"/>
    <n v="39.1"/>
    <x v="4"/>
  </r>
  <r>
    <x v="1"/>
    <s v="China"/>
    <s v="SH_SH_small_hydrophobic_protein_4217:4414_forward"/>
    <n v="198"/>
    <n v="0.65"/>
    <n v="29.8"/>
    <n v="28.8"/>
    <n v="27.3"/>
    <n v="33.299999999999997"/>
    <n v="33.9"/>
    <n v="28.05"/>
    <x v="5"/>
  </r>
  <r>
    <x v="1"/>
    <s v="China"/>
    <s v="G_G_attachment_glycoprotein_4603:5535_forward"/>
    <n v="933"/>
    <n v="0.746"/>
    <n v="40.6"/>
    <n v="36"/>
    <n v="48.9"/>
    <n v="37"/>
    <n v="45"/>
    <n v="42.45"/>
    <x v="6"/>
  </r>
  <r>
    <x v="1"/>
    <s v="China"/>
    <s v="F_F_fusion_protein_5633:7357_forward"/>
    <n v="1725"/>
    <n v="0.69699999999999995"/>
    <n v="34.799999999999997"/>
    <n v="36.5"/>
    <n v="36.299999999999997"/>
    <n v="31.5"/>
    <n v="48.9"/>
    <n v="36.4"/>
    <x v="7"/>
  </r>
  <r>
    <x v="1"/>
    <s v="China"/>
    <s v="M2-1_M2-1_matrix_protein_M2-1_7584:8171_forward"/>
    <n v="588"/>
    <n v="0.73299999999999998"/>
    <n v="36.6"/>
    <n v="38.799999999999997"/>
    <n v="34.200000000000003"/>
    <n v="36.700000000000003"/>
    <n v="45.5"/>
    <n v="36.5"/>
    <x v="8"/>
  </r>
  <r>
    <x v="1"/>
    <s v="China"/>
    <s v="M2-2_M2-2_matrix_protein_M2-2_8137:8409_forward"/>
    <n v="273"/>
    <n v="0.68700000000000006"/>
    <n v="28.2"/>
    <n v="34.1"/>
    <n v="24.2"/>
    <n v="26.4"/>
    <n v="44.2"/>
    <n v="29.15"/>
    <x v="9"/>
  </r>
  <r>
    <x v="1"/>
    <s v="China"/>
    <s v="L_L_RNA-dependent_RNA_polymerase_8475:14975_forward"/>
    <n v="6498"/>
    <n v="0.69499999999999995"/>
    <n v="31.2"/>
    <n v="36.5"/>
    <n v="31.5"/>
    <n v="25.7"/>
    <n v="42.9"/>
    <n v="34"/>
    <x v="10"/>
  </r>
  <r>
    <x v="1"/>
    <s v="Germany"/>
    <s v="NS1_NS1_nonstructural_protein_1_98:517_forward"/>
    <n v="420"/>
    <n v="0.68300000000000005"/>
    <n v="30.5"/>
    <n v="36.4"/>
    <n v="30"/>
    <n v="25"/>
    <n v="38.200000000000003"/>
    <n v="33.200000000000003"/>
    <x v="0"/>
  </r>
  <r>
    <x v="1"/>
    <s v="Germany"/>
    <s v="NS2_NS2_nonstructural_protein_2_625:999_forward"/>
    <n v="375"/>
    <n v="0.73699999999999999"/>
    <n v="34.700000000000003"/>
    <n v="31.2"/>
    <n v="31.2"/>
    <n v="41.6"/>
    <n v="41.1"/>
    <n v="31.2"/>
    <x v="1"/>
  </r>
  <r>
    <x v="1"/>
    <s v="Germany"/>
    <s v="N_N_nucleocapsid_protein_1138:2313_forward"/>
    <n v="1176"/>
    <n v="0.67600000000000005"/>
    <n v="37"/>
    <n v="48.7"/>
    <n v="33.4"/>
    <n v="28.8"/>
    <n v="44.6"/>
    <n v="41.05"/>
    <x v="2"/>
  </r>
  <r>
    <x v="1"/>
    <s v="Germany"/>
    <s v="P_P_phosphoprotein_2346:3071_forward"/>
    <n v="726"/>
    <n v="0.73799999999999999"/>
    <n v="37.5"/>
    <n v="43.8"/>
    <n v="36.4"/>
    <n v="32.200000000000003"/>
    <n v="45.9"/>
    <n v="40.099999999999994"/>
    <x v="3"/>
  </r>
  <r>
    <x v="1"/>
    <s v="Germany"/>
    <s v="M_M_matrix_protein_3261:4031_forward"/>
    <n v="771"/>
    <n v="0.70499999999999996"/>
    <n v="37.200000000000003"/>
    <n v="41.2"/>
    <n v="37"/>
    <n v="33.5"/>
    <n v="49.4"/>
    <n v="39.1"/>
    <x v="4"/>
  </r>
  <r>
    <x v="1"/>
    <s v="Germany"/>
    <s v="SH_SH_small_hydrophobic_protein_4300:4497_forward"/>
    <n v="198"/>
    <n v="0.65300000000000002"/>
    <n v="30.3"/>
    <n v="28.8"/>
    <n v="27.3"/>
    <n v="34.799999999999997"/>
    <n v="34.200000000000003"/>
    <n v="28.05"/>
    <x v="5"/>
  </r>
  <r>
    <x v="1"/>
    <s v="Germany"/>
    <s v="G_G_attachment_glycoprotein_4687:5640_forward"/>
    <n v="954"/>
    <n v="0.746"/>
    <n v="40.700000000000003"/>
    <n v="36.799999999999997"/>
    <n v="48.1"/>
    <n v="37.1"/>
    <n v="47.2"/>
    <n v="42.45"/>
    <x v="6"/>
  </r>
  <r>
    <x v="1"/>
    <s v="Germany"/>
    <s v="F_F_fusion_protein_5717:7441_forward"/>
    <n v="1725"/>
    <n v="0.69599999999999995"/>
    <n v="34.6"/>
    <n v="36.5"/>
    <n v="36.299999999999997"/>
    <n v="30.8"/>
    <n v="48.5"/>
    <n v="36.4"/>
    <x v="7"/>
  </r>
  <r>
    <x v="1"/>
    <s v="Germany"/>
    <s v="M2-1_M2-1_transcription_elongation_factor_M2-1_7668:8255_forward"/>
    <n v="588"/>
    <n v="0.73599999999999999"/>
    <n v="36.4"/>
    <n v="38.299999999999997"/>
    <n v="34.200000000000003"/>
    <n v="36.700000000000003"/>
    <n v="44.8"/>
    <n v="36.25"/>
    <x v="8"/>
  </r>
  <r>
    <x v="1"/>
    <s v="Germany"/>
    <s v="M2-2_M2-2_transcription_replication_factor_M2-2_8221:8493_forward"/>
    <n v="273"/>
    <n v="0.68700000000000006"/>
    <n v="28.2"/>
    <n v="34.1"/>
    <n v="24.2"/>
    <n v="26.4"/>
    <n v="44.2"/>
    <n v="29.15"/>
    <x v="9"/>
  </r>
  <r>
    <x v="1"/>
    <s v="Germany"/>
    <s v="L_L_RNA-directed_RNA_polymerase_8559:15059_forward"/>
    <n v="6501"/>
    <n v="0.69499999999999995"/>
    <n v="31.2"/>
    <n v="36.4"/>
    <n v="31.5"/>
    <n v="25.6"/>
    <n v="42.8"/>
    <n v="33.950000000000003"/>
    <x v="10"/>
  </r>
  <r>
    <x v="1"/>
    <s v="India"/>
    <s v="NS1_NS1_nonstructural_protein_1_118:537_forward"/>
    <n v="420"/>
    <n v="0.67700000000000005"/>
    <n v="30.2"/>
    <n v="37.1"/>
    <n v="30"/>
    <n v="23.6"/>
    <n v="37.700000000000003"/>
    <n v="33.549999999999997"/>
    <x v="0"/>
  </r>
  <r>
    <x v="1"/>
    <s v="India"/>
    <s v="NS2_NS2_nonstructural_protein_2_645:1019_forward"/>
    <n v="375"/>
    <n v="0.73899999999999999"/>
    <n v="34.9"/>
    <n v="31.2"/>
    <n v="31.2"/>
    <n v="42.4"/>
    <n v="41.1"/>
    <n v="31.2"/>
    <x v="1"/>
  </r>
  <r>
    <x v="1"/>
    <s v="India"/>
    <s v="N_N_nucleocapsid_protein_1158:2333_forward"/>
    <n v="1176"/>
    <n v="0.67900000000000005"/>
    <n v="37.200000000000003"/>
    <n v="48.7"/>
    <n v="33.4"/>
    <n v="29.6"/>
    <n v="44.6"/>
    <n v="41.05"/>
    <x v="2"/>
  </r>
  <r>
    <x v="1"/>
    <s v="India"/>
    <s v="P_P_phosphoprotein_2366:3091_forward"/>
    <n v="726"/>
    <n v="0.73299999999999998"/>
    <n v="37.5"/>
    <n v="44.2"/>
    <n v="36.4"/>
    <n v="31.8"/>
    <n v="45.2"/>
    <n v="40.299999999999997"/>
    <x v="3"/>
  </r>
  <r>
    <x v="1"/>
    <s v="India"/>
    <s v="M_M_matrix_protein_3281:4051_forward"/>
    <n v="771"/>
    <n v="0.69599999999999995"/>
    <n v="37.200000000000003"/>
    <n v="41.6"/>
    <n v="37"/>
    <n v="33.1"/>
    <n v="49.3"/>
    <n v="39.299999999999997"/>
    <x v="4"/>
  </r>
  <r>
    <x v="1"/>
    <s v="India"/>
    <s v="SH_SH_small_hydrophobic_protein_4320:4517_forward"/>
    <n v="198"/>
    <n v="0.63800000000000001"/>
    <n v="30.3"/>
    <n v="28.8"/>
    <n v="27.3"/>
    <n v="34.799999999999997"/>
    <n v="30"/>
    <n v="28.05"/>
    <x v="5"/>
  </r>
  <r>
    <x v="1"/>
    <s v="India"/>
    <s v="G_G_attachment_glycoprotein_4707:5639_forward"/>
    <n v="933"/>
    <n v="0.74"/>
    <n v="40.799999999999997"/>
    <n v="35"/>
    <n v="49.5"/>
    <n v="37.9"/>
    <n v="47.6"/>
    <n v="42.25"/>
    <x v="6"/>
  </r>
  <r>
    <x v="1"/>
    <s v="India"/>
    <s v="F_F_fusion_glycoprotein_5737:7461_forward"/>
    <n v="1725"/>
    <n v="0.69299999999999995"/>
    <n v="34.5"/>
    <n v="36.299999999999997"/>
    <n v="36.5"/>
    <n v="30.6"/>
    <n v="47.3"/>
    <n v="36.4"/>
    <x v="7"/>
  </r>
  <r>
    <x v="1"/>
    <s v="India"/>
    <s v="M2-1_M2-1_transcription_elongation_factor_M2-1_7688:8275_forward"/>
    <n v="588"/>
    <n v="0.74299999999999999"/>
    <n v="36.6"/>
    <n v="37.799999999999997"/>
    <n v="34.200000000000003"/>
    <n v="37.799999999999997"/>
    <n v="44.4"/>
    <n v="36"/>
    <x v="8"/>
  </r>
  <r>
    <x v="1"/>
    <s v="India"/>
    <s v="M2-2_M2-2_transcription_elongation_factor_M2-2_8241:8513_forward"/>
    <n v="273"/>
    <n v="0.68500000000000005"/>
    <n v="28.9"/>
    <n v="36.299999999999997"/>
    <n v="24.2"/>
    <n v="26.4"/>
    <n v="44.5"/>
    <n v="30.25"/>
    <x v="9"/>
  </r>
  <r>
    <x v="1"/>
    <s v="India"/>
    <s v="L_L_RNA-directed_RNA_polymerase_L_8579:15079_forward"/>
    <n v="6501"/>
    <n v="0.69499999999999995"/>
    <n v="31.3"/>
    <n v="36.5"/>
    <n v="31.4"/>
    <n v="25.9"/>
    <n v="42.9"/>
    <n v="33.950000000000003"/>
    <x v="10"/>
  </r>
  <r>
    <x v="1"/>
    <s v="Italy"/>
    <s v="NS1_NS1_nonstructural_protein_1_27:446_forward"/>
    <n v="420"/>
    <n v="0.67900000000000005"/>
    <n v="30.2"/>
    <n v="36.4"/>
    <n v="30.7"/>
    <n v="23.6"/>
    <n v="36.9"/>
    <n v="33.549999999999997"/>
    <x v="0"/>
  </r>
  <r>
    <x v="1"/>
    <s v="Italy"/>
    <s v="NS2_NS2_nonstructural_protein_2_554:928_forward"/>
    <n v="375"/>
    <n v="0.73499999999999999"/>
    <n v="34.9"/>
    <n v="31.2"/>
    <n v="31.2"/>
    <n v="42.4"/>
    <n v="40.299999999999997"/>
    <n v="31.2"/>
    <x v="1"/>
  </r>
  <r>
    <x v="1"/>
    <s v="Italy"/>
    <s v="N_N_nucleoprotein_1067:2242_forward"/>
    <n v="1176"/>
    <n v="0.67900000000000005"/>
    <n v="37.200000000000003"/>
    <n v="48.7"/>
    <n v="33.4"/>
    <n v="29.3"/>
    <n v="44.6"/>
    <n v="41.05"/>
    <x v="2"/>
  </r>
  <r>
    <x v="1"/>
    <s v="Italy"/>
    <s v="P_P_phosphoprotein_2275:3000_forward"/>
    <n v="726"/>
    <n v="0.73399999999999999"/>
    <n v="37.6"/>
    <n v="44.2"/>
    <n v="36.4"/>
    <n v="32.200000000000003"/>
    <n v="46"/>
    <n v="40.299999999999997"/>
    <x v="3"/>
  </r>
  <r>
    <x v="1"/>
    <s v="Italy"/>
    <s v="M_M_matrix_protein_3190:3960_forward"/>
    <n v="771"/>
    <n v="0.7"/>
    <n v="37.1"/>
    <n v="41.2"/>
    <n v="36.6"/>
    <n v="33.5"/>
    <n v="50.3"/>
    <n v="38.900000000000006"/>
    <x v="4"/>
  </r>
  <r>
    <x v="1"/>
    <s v="Italy"/>
    <s v="SH_SH_small_hydrophobic_protein_4229:4426_forward"/>
    <n v="198"/>
    <n v="0.65"/>
    <n v="29.8"/>
    <n v="28.8"/>
    <n v="27.3"/>
    <n v="33.299999999999997"/>
    <n v="33.9"/>
    <n v="28.05"/>
    <x v="5"/>
  </r>
  <r>
    <x v="1"/>
    <s v="Italy"/>
    <s v="G_G_attachment_glycoprotein_4616:5548_forward"/>
    <n v="933"/>
    <n v="0.74199999999999999"/>
    <n v="39.9"/>
    <n v="34.4"/>
    <n v="48.2"/>
    <n v="37"/>
    <n v="44.6"/>
    <n v="41.3"/>
    <x v="6"/>
  </r>
  <r>
    <x v="1"/>
    <s v="Italy"/>
    <s v="F_F_fusion_glycoprotein_5646:7370_forward"/>
    <n v="1725"/>
    <n v="0.69399999999999995"/>
    <n v="34.4"/>
    <n v="36.299999999999997"/>
    <n v="36.700000000000003"/>
    <n v="30.1"/>
    <n v="47.1"/>
    <n v="36.5"/>
    <x v="7"/>
  </r>
  <r>
    <x v="1"/>
    <s v="Italy"/>
    <s v="M2_M2_M2-1_protein_7597:8184_forward"/>
    <n v="588"/>
    <n v="0.73399999999999999"/>
    <n v="36.200000000000003"/>
    <n v="38.299999999999997"/>
    <n v="34.200000000000003"/>
    <n v="36.200000000000003"/>
    <n v="44.8"/>
    <n v="36.25"/>
    <x v="8"/>
  </r>
  <r>
    <x v="1"/>
    <s v="Italy"/>
    <s v="M2_M2_M2-2_protein_8150:8422_forward"/>
    <n v="273"/>
    <n v="0.69299999999999995"/>
    <n v="28.6"/>
    <n v="35.200000000000003"/>
    <n v="24.2"/>
    <n v="26.4"/>
    <n v="41.3"/>
    <n v="29.700000000000003"/>
    <x v="9"/>
  </r>
  <r>
    <x v="1"/>
    <s v="Italy"/>
    <s v="L_L_RNA-dependent_RNA_polymerase_8488:14988_forward"/>
    <n v="6501"/>
    <n v="0.69499999999999995"/>
    <n v="31.1"/>
    <n v="36.5"/>
    <n v="31.4"/>
    <n v="25.5"/>
    <n v="42.8"/>
    <n v="33.950000000000003"/>
    <x v="10"/>
  </r>
  <r>
    <x v="1"/>
    <s v="Japan"/>
    <s v="NS1_NS1_non-structural_protein_1_87:506_forward"/>
    <n v="420"/>
    <n v="0.68400000000000005"/>
    <n v="31.4"/>
    <n v="37.1"/>
    <n v="30"/>
    <n v="27.1"/>
    <n v="40.200000000000003"/>
    <n v="33.549999999999997"/>
    <x v="0"/>
  </r>
  <r>
    <x v="1"/>
    <s v="Japan"/>
    <s v="NS2_NS2_non-structural_protein_2_614:988_forward"/>
    <n v="375"/>
    <n v="0.73899999999999999"/>
    <n v="35.200000000000003"/>
    <n v="32"/>
    <n v="31.2"/>
    <n v="42.4"/>
    <n v="41.2"/>
    <n v="31.6"/>
    <x v="1"/>
  </r>
  <r>
    <x v="1"/>
    <s v="Japan"/>
    <s v="N_N_nucleocapsid_protein_1127:2302_forward"/>
    <n v="1176"/>
    <n v="0.68200000000000005"/>
    <n v="37.6"/>
    <n v="49"/>
    <n v="33.4"/>
    <n v="30.4"/>
    <n v="45.2"/>
    <n v="41.2"/>
    <x v="2"/>
  </r>
  <r>
    <x v="1"/>
    <s v="Japan"/>
    <s v="P_P_phosphoprotein_2335:3060_forward"/>
    <n v="726"/>
    <n v="0.73399999999999999"/>
    <n v="37.6"/>
    <n v="44.2"/>
    <n v="36.4"/>
    <n v="32.200000000000003"/>
    <n v="46.4"/>
    <n v="40.299999999999997"/>
    <x v="3"/>
  </r>
  <r>
    <x v="1"/>
    <s v="Japan"/>
    <s v="M_M_matrix_protein_3250:4020_forward"/>
    <n v="771"/>
    <n v="0.70099999999999996"/>
    <n v="37.200000000000003"/>
    <n v="41.2"/>
    <n v="37"/>
    <n v="33.5"/>
    <n v="49.2"/>
    <n v="39.1"/>
    <x v="4"/>
  </r>
  <r>
    <x v="1"/>
    <s v="Japan"/>
    <s v="SH_SH_small_hydrophobic_protein_4289:4486_forward"/>
    <n v="198"/>
    <n v="0.65"/>
    <n v="29.8"/>
    <n v="28.8"/>
    <n v="27.3"/>
    <n v="33.299999999999997"/>
    <n v="33.9"/>
    <n v="28.05"/>
    <x v="5"/>
  </r>
  <r>
    <x v="1"/>
    <s v="Japan"/>
    <s v="G_G_attachment_glycoprotein_4676:5608_forward"/>
    <n v="933"/>
    <n v="0.753"/>
    <n v="40.799999999999997"/>
    <n v="34.700000000000003"/>
    <n v="49.5"/>
    <n v="38.299999999999997"/>
    <n v="45.7"/>
    <n v="42.1"/>
    <x v="6"/>
  </r>
  <r>
    <x v="1"/>
    <s v="Japan"/>
    <s v="F_F_fusion_protein_5706:7430_forward"/>
    <n v="1725"/>
    <n v="0.69399999999999995"/>
    <n v="34.6"/>
    <n v="36.299999999999997"/>
    <n v="36.700000000000003"/>
    <n v="30.6"/>
    <n v="47.6"/>
    <n v="36.5"/>
    <x v="7"/>
  </r>
  <r>
    <x v="1"/>
    <s v="Japan"/>
    <s v="M2-1_M2-1_transcription_elongation_factor_m2-1_7657:8244_forward"/>
    <n v="588"/>
    <n v="0.73399999999999999"/>
    <n v="36.4"/>
    <n v="38.299999999999997"/>
    <n v="34.200000000000003"/>
    <n v="36.700000000000003"/>
    <n v="45"/>
    <n v="36.25"/>
    <x v="8"/>
  </r>
  <r>
    <x v="1"/>
    <s v="Japan"/>
    <s v="M2-2_M2-2_transcription_elongation_factor_m2-2_8210:8482_forward"/>
    <n v="273"/>
    <n v="0.69299999999999995"/>
    <n v="28.6"/>
    <n v="35.200000000000003"/>
    <n v="24.2"/>
    <n v="26.4"/>
    <n v="41.3"/>
    <n v="29.700000000000003"/>
    <x v="9"/>
  </r>
  <r>
    <x v="1"/>
    <s v="Japan"/>
    <s v="L_L_rna_directed_rna_polymerase_L_8548:15048_forward"/>
    <n v="6501"/>
    <n v="0.69499999999999995"/>
    <n v="31.2"/>
    <n v="36.5"/>
    <n v="31.5"/>
    <n v="25.7"/>
    <n v="42.8"/>
    <n v="34"/>
    <x v="10"/>
  </r>
  <r>
    <x v="1"/>
    <s v="Kenya"/>
    <s v="NS1_NS1_nonstructural_protein_1_87:506_forward"/>
    <n v="420"/>
    <n v="0.68"/>
    <n v="30.2"/>
    <n v="36.4"/>
    <n v="30"/>
    <n v="24.3"/>
    <n v="37.9"/>
    <n v="33.200000000000003"/>
    <x v="0"/>
  </r>
  <r>
    <x v="1"/>
    <s v="Kenya"/>
    <s v="NS2_NS2_nonstructural_protein_2_614:988_forward"/>
    <n v="375"/>
    <n v="0.73699999999999999"/>
    <n v="34.700000000000003"/>
    <n v="31.2"/>
    <n v="31.2"/>
    <n v="41.6"/>
    <n v="41.2"/>
    <n v="31.2"/>
    <x v="1"/>
  </r>
  <r>
    <x v="1"/>
    <s v="Kenya"/>
    <s v="N_N_nucleoprotein_1128:2303_forward"/>
    <n v="1176"/>
    <n v="0.67900000000000005"/>
    <n v="37.200000000000003"/>
    <n v="49"/>
    <n v="33.4"/>
    <n v="29.1"/>
    <n v="45.1"/>
    <n v="41.2"/>
    <x v="2"/>
  </r>
  <r>
    <x v="1"/>
    <s v="Kenya"/>
    <s v="P_P_phosphoprotein_2337:3062_forward"/>
    <n v="726"/>
    <n v="0.72599999999999998"/>
    <n v="37.200000000000003"/>
    <n v="44.6"/>
    <n v="36.4"/>
    <n v="30.6"/>
    <n v="45.1"/>
    <n v="40.5"/>
    <x v="3"/>
  </r>
  <r>
    <x v="1"/>
    <s v="Kenya"/>
    <s v="M_M_matrix_protein_3252:4022_forward"/>
    <n v="771"/>
    <n v="0.68799999999999994"/>
    <n v="37"/>
    <n v="41.6"/>
    <n v="37"/>
    <n v="32.299999999999997"/>
    <n v="49.8"/>
    <n v="39.299999999999997"/>
    <x v="4"/>
  </r>
  <r>
    <x v="1"/>
    <s v="Kenya"/>
    <s v="SH_SH_small_hydrophobic_protein_4291:4488_forward"/>
    <n v="198"/>
    <n v="0.65600000000000003"/>
    <n v="29.3"/>
    <n v="27.3"/>
    <n v="28.8"/>
    <n v="31.8"/>
    <n v="33.299999999999997"/>
    <n v="28.05"/>
    <x v="5"/>
  </r>
  <r>
    <x v="1"/>
    <s v="Kenya"/>
    <s v="G_G_attachment_glycoprotein_4678:5631_forward"/>
    <n v="954"/>
    <n v="0.75"/>
    <n v="40.9"/>
    <n v="35.5"/>
    <n v="49.1"/>
    <n v="38.1"/>
    <n v="44"/>
    <n v="42.3"/>
    <x v="6"/>
  </r>
  <r>
    <x v="1"/>
    <s v="Kenya"/>
    <s v="F_F_fusion_protein_5708:7432_forward"/>
    <n v="1725"/>
    <n v="0.69499999999999995"/>
    <n v="34.799999999999997"/>
    <n v="36.5"/>
    <n v="36.700000000000003"/>
    <n v="31.1"/>
    <n v="48.5"/>
    <n v="36.6"/>
    <x v="7"/>
  </r>
  <r>
    <x v="1"/>
    <s v="Kenya"/>
    <s v="M2-1_M2-1_matrix_protein_2-1_7659:8246_forward"/>
    <n v="588"/>
    <n v="0.73199999999999998"/>
    <n v="36.6"/>
    <n v="39.299999999999997"/>
    <n v="33.700000000000003"/>
    <n v="36.700000000000003"/>
    <n v="47.1"/>
    <n v="36.5"/>
    <x v="8"/>
  </r>
  <r>
    <x v="1"/>
    <s v="Kenya"/>
    <s v="M2-2_M2-2_matrix_protein_2-2_8212:8484_forward"/>
    <n v="273"/>
    <n v="0.69899999999999995"/>
    <n v="29.3"/>
    <n v="35.200000000000003"/>
    <n v="24.2"/>
    <n v="28.6"/>
    <n v="43.7"/>
    <n v="29.700000000000003"/>
    <x v="9"/>
  </r>
  <r>
    <x v="1"/>
    <s v="Kenya"/>
    <s v="L_L_RNA-directed_RNA_polymerase_8550:15050_forward"/>
    <n v="6501"/>
    <n v="0.69499999999999995"/>
    <n v="31.2"/>
    <n v="36.5"/>
    <n v="31.4"/>
    <n v="25.7"/>
    <n v="42.9"/>
    <n v="33.950000000000003"/>
    <x v="10"/>
  </r>
  <r>
    <x v="1"/>
    <s v="Mexico"/>
    <s v="NS1_NS1_nonstructural_protein_1_27:446_forward"/>
    <n v="420"/>
    <n v="0.68200000000000005"/>
    <n v="30"/>
    <n v="35.700000000000003"/>
    <n v="30"/>
    <n v="24.3"/>
    <n v="34.1"/>
    <n v="32.85"/>
    <x v="0"/>
  </r>
  <r>
    <x v="1"/>
    <s v="Mexico"/>
    <s v="NS2_NS2_nonstructural_protein_2_554:928_forward"/>
    <n v="375"/>
    <n v="0.74"/>
    <n v="35.200000000000003"/>
    <n v="31.2"/>
    <n v="31.2"/>
    <n v="43.2"/>
    <n v="40.700000000000003"/>
    <n v="31.2"/>
    <x v="1"/>
  </r>
  <r>
    <x v="1"/>
    <s v="Mexico"/>
    <s v="N_N_nucleoprotein_1067:2242_forward"/>
    <n v="1176"/>
    <n v="0.68"/>
    <n v="37.299999999999997"/>
    <n v="48.7"/>
    <n v="33.4"/>
    <n v="29.8"/>
    <n v="44.7"/>
    <n v="41.05"/>
    <x v="2"/>
  </r>
  <r>
    <x v="1"/>
    <s v="Mexico"/>
    <s v="P_P_phosphoprotein_2275:3000_forward"/>
    <n v="726"/>
    <n v="0.73599999999999999"/>
    <n v="37.9"/>
    <n v="44.2"/>
    <n v="36.4"/>
    <n v="33.1"/>
    <n v="46.2"/>
    <n v="40.299999999999997"/>
    <x v="3"/>
  </r>
  <r>
    <x v="1"/>
    <s v="Mexico"/>
    <s v="M_M_matrix_protein_3190:3960_forward"/>
    <n v="771"/>
    <n v="0.7"/>
    <n v="37.1"/>
    <n v="41.2"/>
    <n v="37"/>
    <n v="33.1"/>
    <n v="49.2"/>
    <n v="39.1"/>
    <x v="4"/>
  </r>
  <r>
    <x v="1"/>
    <s v="Mexico"/>
    <s v="SH_SH_small_hydrophobic_protein_4229:4426_forward"/>
    <n v="198"/>
    <n v="0.65100000000000002"/>
    <n v="30.3"/>
    <n v="28.8"/>
    <n v="27.3"/>
    <n v="34.799999999999997"/>
    <n v="32.1"/>
    <n v="28.05"/>
    <x v="5"/>
  </r>
  <r>
    <x v="1"/>
    <s v="Mexico"/>
    <s v="G_G_attachment_glycoprotein_4615:5547_forward"/>
    <n v="933"/>
    <n v="0.74399999999999999"/>
    <n v="39.799999999999997"/>
    <n v="34.700000000000003"/>
    <n v="48.2"/>
    <n v="36.299999999999997"/>
    <n v="44.6"/>
    <n v="41.45"/>
    <x v="6"/>
  </r>
  <r>
    <x v="1"/>
    <s v="Mexico"/>
    <s v="F_F_fusion_glycoprotein_5645:7369_forward"/>
    <n v="1725"/>
    <n v="0.69499999999999995"/>
    <n v="34.799999999999997"/>
    <n v="36.299999999999997"/>
    <n v="36.9"/>
    <n v="31.1"/>
    <n v="48.2"/>
    <n v="36.599999999999994"/>
    <x v="7"/>
  </r>
  <r>
    <x v="1"/>
    <s v="Mexico"/>
    <s v="M2_M2_M2-1_protein_7595:8182_forward"/>
    <n v="588"/>
    <n v="0.73299999999999998"/>
    <n v="36.1"/>
    <n v="38.299999999999997"/>
    <n v="34.200000000000003"/>
    <n v="35.700000000000003"/>
    <n v="44.7"/>
    <n v="36.25"/>
    <x v="8"/>
  </r>
  <r>
    <x v="1"/>
    <s v="Mexico"/>
    <s v="M2_M2_M2-2_protein_8148:8420_forward"/>
    <n v="273"/>
    <n v="0.69299999999999995"/>
    <n v="28.2"/>
    <n v="34.1"/>
    <n v="24.2"/>
    <n v="26.4"/>
    <n v="40.700000000000003"/>
    <n v="29.15"/>
    <x v="9"/>
  </r>
  <r>
    <x v="1"/>
    <s v="Mexico"/>
    <s v="L_L_RNA-dependent_RNA_polymerase_8486:14986_forward"/>
    <n v="6501"/>
    <n v="0.69599999999999995"/>
    <n v="31.2"/>
    <n v="36.299999999999997"/>
    <n v="31.5"/>
    <n v="25.8"/>
    <n v="42.8"/>
    <n v="33.9"/>
    <x v="10"/>
  </r>
  <r>
    <x v="1"/>
    <s v="Netherlands"/>
    <s v="NS1_NS1_nonstructural_protein_1_70:489_forward"/>
    <n v="420"/>
    <n v="0.68200000000000005"/>
    <n v="30.2"/>
    <n v="36.4"/>
    <n v="30"/>
    <n v="24.3"/>
    <n v="37.799999999999997"/>
    <n v="33.200000000000003"/>
    <x v="0"/>
  </r>
  <r>
    <x v="1"/>
    <s v="Netherlands"/>
    <s v="NS2_NS2_nonstructural_protein_2_597:971_forward"/>
    <n v="375"/>
    <n v="0.73799999999999999"/>
    <n v="35.200000000000003"/>
    <n v="31.2"/>
    <n v="31.2"/>
    <n v="43.2"/>
    <n v="41.8"/>
    <n v="31.2"/>
    <x v="1"/>
  </r>
  <r>
    <x v="1"/>
    <s v="Netherlands"/>
    <s v="N_N_nucleoprotein_1110:2285_forward"/>
    <n v="1176"/>
    <n v="0.67900000000000005"/>
    <n v="37.200000000000003"/>
    <n v="48.7"/>
    <n v="33.4"/>
    <n v="29.3"/>
    <n v="44.6"/>
    <n v="41.05"/>
    <x v="2"/>
  </r>
  <r>
    <x v="1"/>
    <s v="Netherlands"/>
    <s v="P_P_phosphoprotein_2318:3043_forward"/>
    <n v="726"/>
    <n v="0.73499999999999999"/>
    <n v="37.700000000000003"/>
    <n v="44.2"/>
    <n v="36.4"/>
    <n v="32.6"/>
    <n v="46.1"/>
    <n v="40.299999999999997"/>
    <x v="3"/>
  </r>
  <r>
    <x v="1"/>
    <s v="Netherlands"/>
    <s v="M_M_matrix_protein_3233:4003_forward"/>
    <n v="771"/>
    <n v="0.70299999999999996"/>
    <n v="37"/>
    <n v="41.2"/>
    <n v="37"/>
    <n v="32.700000000000003"/>
    <n v="48.9"/>
    <n v="39.1"/>
    <x v="4"/>
  </r>
  <r>
    <x v="1"/>
    <s v="Netherlands"/>
    <s v="SH_SH_small_hydrophobic_protein_4272:4469_forward"/>
    <n v="198"/>
    <n v="0.65"/>
    <n v="29.8"/>
    <n v="28.8"/>
    <n v="27.3"/>
    <n v="33.299999999999997"/>
    <n v="33.9"/>
    <n v="28.05"/>
    <x v="5"/>
  </r>
  <r>
    <x v="1"/>
    <s v="Netherlands"/>
    <s v="G_G_attachment_glycoprotein_4658:5590_forward"/>
    <n v="933"/>
    <n v="0.74199999999999999"/>
    <n v="40.9"/>
    <n v="35.4"/>
    <n v="49.5"/>
    <n v="37.9"/>
    <n v="44.8"/>
    <n v="42.45"/>
    <x v="6"/>
  </r>
  <r>
    <x v="1"/>
    <s v="Netherlands"/>
    <s v="F_F_fusion_glycoprotein_5688:7412_forward"/>
    <n v="1725"/>
    <n v="0.69599999999999995"/>
    <n v="34.6"/>
    <n v="36.299999999999997"/>
    <n v="36.9"/>
    <n v="30.6"/>
    <n v="46.9"/>
    <n v="36.599999999999994"/>
    <x v="7"/>
  </r>
  <r>
    <x v="1"/>
    <s v="Netherlands"/>
    <s v="M2_M2_M2-1_protein_7639:8226_forward"/>
    <n v="588"/>
    <n v="0.74099999999999999"/>
    <n v="36.1"/>
    <n v="37.799999999999997"/>
    <n v="34.200000000000003"/>
    <n v="36.200000000000003"/>
    <n v="44.9"/>
    <n v="36"/>
    <x v="8"/>
  </r>
  <r>
    <x v="1"/>
    <s v="Netherlands"/>
    <s v="M2_M2_M2-2_protein_8192:8464_forward"/>
    <n v="273"/>
    <n v="0.68899999999999995"/>
    <n v="29.3"/>
    <n v="35.200000000000003"/>
    <n v="25.3"/>
    <n v="27.5"/>
    <n v="46"/>
    <n v="30.25"/>
    <x v="9"/>
  </r>
  <r>
    <x v="1"/>
    <s v="Netherlands"/>
    <s v="L_L_RNA-dependent_RNA_polymerase_8530:15030_forward"/>
    <n v="6501"/>
    <n v="0.69599999999999995"/>
    <n v="31.2"/>
    <n v="36.4"/>
    <n v="31.5"/>
    <n v="25.8"/>
    <n v="42.9"/>
    <n v="33.950000000000003"/>
    <x v="10"/>
  </r>
  <r>
    <x v="1"/>
    <s v="Peru"/>
    <s v="NS1_NS1_nonstructural_protein_1_67:486_forward"/>
    <n v="420"/>
    <n v="0.68200000000000005"/>
    <n v="30.2"/>
    <n v="36.4"/>
    <n v="30"/>
    <n v="24.3"/>
    <n v="37.799999999999997"/>
    <n v="33.200000000000003"/>
    <x v="0"/>
  </r>
  <r>
    <x v="1"/>
    <s v="Peru"/>
    <s v="NS2_NS2_nonstructural_protein_2_594:968_forward"/>
    <n v="375"/>
    <n v="0.73899999999999999"/>
    <n v="34.9"/>
    <n v="31.2"/>
    <n v="31.2"/>
    <n v="42.4"/>
    <n v="41.1"/>
    <n v="31.2"/>
    <x v="1"/>
  </r>
  <r>
    <x v="1"/>
    <s v="Peru"/>
    <s v="N_N_nucleoprotein_1106:2281_forward"/>
    <n v="1176"/>
    <n v="0.67500000000000004"/>
    <n v="36.9"/>
    <n v="48.7"/>
    <n v="33.4"/>
    <n v="28.6"/>
    <n v="44.4"/>
    <n v="41.05"/>
    <x v="2"/>
  </r>
  <r>
    <x v="1"/>
    <s v="Peru"/>
    <s v="P_P_phosphoprotein_2314:3039_forward"/>
    <n v="726"/>
    <n v="0.73799999999999999"/>
    <n v="37.5"/>
    <n v="43.8"/>
    <n v="36.4"/>
    <n v="32.200000000000003"/>
    <n v="45.9"/>
    <n v="40.099999999999994"/>
    <x v="3"/>
  </r>
  <r>
    <x v="1"/>
    <s v="Peru"/>
    <s v="M_M_matrix_protein_3229:3999_forward"/>
    <n v="771"/>
    <n v="0.70799999999999996"/>
    <n v="37"/>
    <n v="40.9"/>
    <n v="37"/>
    <n v="33.1"/>
    <n v="49"/>
    <n v="38.950000000000003"/>
    <x v="4"/>
  </r>
  <r>
    <x v="1"/>
    <s v="Peru"/>
    <s v="SH_SH_small_hydrophobic_protein_4268:4465_forward"/>
    <n v="198"/>
    <n v="0.64900000000000002"/>
    <n v="29.3"/>
    <n v="28.8"/>
    <n v="25.8"/>
    <n v="33.299999999999997"/>
    <n v="37.799999999999997"/>
    <n v="27.3"/>
    <x v="5"/>
  </r>
  <r>
    <x v="1"/>
    <s v="Peru"/>
    <s v="G_G_attachment_glycoprotein_4654:5586_forward"/>
    <n v="933"/>
    <n v="0.749"/>
    <n v="40.6"/>
    <n v="35.700000000000003"/>
    <n v="49.2"/>
    <n v="37"/>
    <n v="45.1"/>
    <n v="42.45"/>
    <x v="6"/>
  </r>
  <r>
    <x v="1"/>
    <s v="Peru"/>
    <s v="F_F_fusion_glycoprotein_5684:7408_forward"/>
    <n v="1725"/>
    <n v="0.69399999999999995"/>
    <n v="34.5"/>
    <n v="36.299999999999997"/>
    <n v="36.5"/>
    <n v="30.6"/>
    <n v="47.9"/>
    <n v="36.4"/>
    <x v="7"/>
  </r>
  <r>
    <x v="1"/>
    <s v="Peru"/>
    <s v="M2_M2_M2-1_protein_7635:8222_forward"/>
    <n v="588"/>
    <n v="0.73499999999999999"/>
    <n v="36.200000000000003"/>
    <n v="38.299999999999997"/>
    <n v="34.200000000000003"/>
    <n v="36.200000000000003"/>
    <n v="44.8"/>
    <n v="36.25"/>
    <x v="8"/>
  </r>
  <r>
    <x v="1"/>
    <s v="Peru"/>
    <s v="M2_M2_M2-2_protein_8188:8460_forward"/>
    <n v="273"/>
    <n v="0.68700000000000006"/>
    <n v="28.2"/>
    <n v="34.1"/>
    <n v="24.2"/>
    <n v="26.4"/>
    <n v="44.2"/>
    <n v="29.15"/>
    <x v="9"/>
  </r>
  <r>
    <x v="1"/>
    <s v="Peru"/>
    <s v="L_L_RNA-dependent_RNA_polymerase_8526:15026_forward"/>
    <n v="6501"/>
    <n v="0.69599999999999995"/>
    <n v="31.2"/>
    <n v="36.4"/>
    <n v="31.5"/>
    <n v="25.7"/>
    <n v="42.9"/>
    <n v="33.950000000000003"/>
    <x v="10"/>
  </r>
  <r>
    <x v="1"/>
    <s v="Russia"/>
    <s v="NS1_NS1_nonstructural_protein_1_1:420_forward"/>
    <n v="420"/>
    <n v="0.68400000000000005"/>
    <n v="30"/>
    <n v="35.700000000000003"/>
    <n v="30"/>
    <n v="24.3"/>
    <n v="37.9"/>
    <n v="32.85"/>
    <x v="0"/>
  </r>
  <r>
    <x v="1"/>
    <s v="Russia"/>
    <s v="NS2_NS2_nonstructural_protein_2_528:902_forward"/>
    <n v="375"/>
    <n v="0.73899999999999999"/>
    <n v="34.9"/>
    <n v="31.2"/>
    <n v="31.2"/>
    <n v="42.4"/>
    <n v="41.1"/>
    <n v="31.2"/>
    <x v="1"/>
  </r>
  <r>
    <x v="1"/>
    <s v="Russia"/>
    <s v="N_N_nonstructural_protein_1_1040:2215_forward"/>
    <n v="1176"/>
    <n v="0.67400000000000004"/>
    <n v="37.200000000000003"/>
    <n v="49"/>
    <n v="33.4"/>
    <n v="29.1"/>
    <n v="44.5"/>
    <n v="41.2"/>
    <x v="2"/>
  </r>
  <r>
    <x v="1"/>
    <s v="Russia"/>
    <s v="P_P_phosphoprotein_2248:2973_forward"/>
    <n v="726"/>
    <n v="0.73399999999999999"/>
    <n v="37.700000000000003"/>
    <n v="44.6"/>
    <n v="36.4"/>
    <n v="32.200000000000003"/>
    <n v="46.4"/>
    <n v="40.5"/>
    <x v="3"/>
  </r>
  <r>
    <x v="1"/>
    <s v="Russia"/>
    <s v="M_M_matrix_protein_3163:3933_forward"/>
    <n v="771"/>
    <n v="0.70199999999999996"/>
    <n v="37.5"/>
    <n v="41.2"/>
    <n v="37"/>
    <n v="34.200000000000003"/>
    <n v="49.4"/>
    <n v="39.1"/>
    <x v="4"/>
  </r>
  <r>
    <x v="1"/>
    <s v="Russia"/>
    <s v="SH_SH_small_hydrophobic_protein_4202:4399_forward"/>
    <n v="198"/>
    <n v="0.65"/>
    <n v="29.8"/>
    <n v="28.8"/>
    <n v="27.3"/>
    <n v="33.299999999999997"/>
    <n v="33.9"/>
    <n v="28.05"/>
    <x v="5"/>
  </r>
  <r>
    <x v="1"/>
    <s v="Russia"/>
    <s v="G_G_attachment_glycoprotein_4588:5541_forward"/>
    <n v="954"/>
    <n v="0.74199999999999999"/>
    <n v="40.799999999999997"/>
    <n v="36.200000000000003"/>
    <n v="49.1"/>
    <n v="37.1"/>
    <n v="50.6"/>
    <n v="42.650000000000006"/>
    <x v="6"/>
  </r>
  <r>
    <x v="1"/>
    <s v="Russia"/>
    <s v="F_F_fusion_protein_5618:7342_forward"/>
    <n v="1725"/>
    <n v="0.69399999999999995"/>
    <n v="34.700000000000003"/>
    <n v="36.5"/>
    <n v="36.9"/>
    <n v="30.6"/>
    <n v="48"/>
    <n v="36.700000000000003"/>
    <x v="7"/>
  </r>
  <r>
    <x v="1"/>
    <s v="Russia"/>
    <s v="M2-1_M2-1_M2-1_protein_7569:8156_forward"/>
    <n v="588"/>
    <n v="0.73399999999999999"/>
    <n v="36.200000000000003"/>
    <n v="38.299999999999997"/>
    <n v="34.200000000000003"/>
    <n v="36.200000000000003"/>
    <n v="44.8"/>
    <n v="36.25"/>
    <x v="8"/>
  </r>
  <r>
    <x v="1"/>
    <s v="Russia"/>
    <s v="M2-2_M2-2_M2-2_protein_8122:8394_forward"/>
    <n v="273"/>
    <n v="0.68700000000000006"/>
    <n v="28.9"/>
    <n v="35.200000000000003"/>
    <n v="25.3"/>
    <n v="26.4"/>
    <n v="44.7"/>
    <n v="30.25"/>
    <x v="9"/>
  </r>
  <r>
    <x v="1"/>
    <s v="Russia"/>
    <s v="L_L_RNA-dependent_RNA_polymerase_8460:14960_forward"/>
    <n v="6501"/>
    <n v="0.69499999999999995"/>
    <n v="31.2"/>
    <n v="36.4"/>
    <n v="31.5"/>
    <n v="25.7"/>
    <n v="42.9"/>
    <n v="33.950000000000003"/>
    <x v="10"/>
  </r>
  <r>
    <x v="1"/>
    <s v="S.Africa"/>
    <s v="NS1_NS1_nonstructural_protein_1_92:511_forward"/>
    <n v="420"/>
    <n v="0.68200000000000005"/>
    <n v="30.2"/>
    <n v="36.4"/>
    <n v="30"/>
    <n v="24.3"/>
    <n v="37.799999999999997"/>
    <n v="33.200000000000003"/>
    <x v="0"/>
  </r>
  <r>
    <x v="1"/>
    <s v="S.Africa"/>
    <s v="NS2_NS2_nonstructural_protein_2_619:993_forward"/>
    <n v="375"/>
    <n v="0.73899999999999999"/>
    <n v="34.9"/>
    <n v="31.2"/>
    <n v="31.2"/>
    <n v="42.4"/>
    <n v="41.1"/>
    <n v="31.2"/>
    <x v="1"/>
  </r>
  <r>
    <x v="1"/>
    <s v="S.Africa"/>
    <s v="N_N_nucleocapsid_protein_1132:2307_forward"/>
    <n v="1176"/>
    <n v="0.68"/>
    <n v="37.4"/>
    <n v="48.7"/>
    <n v="33.4"/>
    <n v="30.1"/>
    <n v="44.7"/>
    <n v="41.05"/>
    <x v="2"/>
  </r>
  <r>
    <x v="1"/>
    <s v="S.Africa"/>
    <s v="P_P_phosphoprotein_2340:3065_forward"/>
    <n v="726"/>
    <n v="0.73499999999999999"/>
    <n v="37.6"/>
    <n v="44.2"/>
    <n v="36.4"/>
    <n v="32.200000000000003"/>
    <n v="46.1"/>
    <n v="40.299999999999997"/>
    <x v="3"/>
  </r>
  <r>
    <x v="1"/>
    <s v="S.Africa"/>
    <s v="M_M_matrix_protein_3255:4025_forward"/>
    <n v="771"/>
    <n v="0.70799999999999996"/>
    <n v="37.5"/>
    <n v="41.2"/>
    <n v="37"/>
    <n v="34.200000000000003"/>
    <n v="49.6"/>
    <n v="39.1"/>
    <x v="4"/>
  </r>
  <r>
    <x v="1"/>
    <s v="S.Africa"/>
    <s v="SH_SH_small_hydrophobic_protein_4294:4491_forward"/>
    <n v="198"/>
    <n v="0.65"/>
    <n v="29.8"/>
    <n v="28.8"/>
    <n v="27.3"/>
    <n v="33.299999999999997"/>
    <n v="33.9"/>
    <n v="28.05"/>
    <x v="5"/>
  </r>
  <r>
    <x v="1"/>
    <s v="S.Africa"/>
    <s v="G_G_attachment_glycoprotein_4681:5553_forward"/>
    <n v="873"/>
    <n v="0.74299999999999999"/>
    <n v="39.200000000000003"/>
    <n v="34"/>
    <n v="48.1"/>
    <n v="35.4"/>
    <n v="45.8"/>
    <n v="41.05"/>
    <x v="6"/>
  </r>
  <r>
    <x v="1"/>
    <s v="S.Africa"/>
    <s v="F_F_fusion_protein_5651:7375_forward"/>
    <n v="1725"/>
    <n v="0.69599999999999995"/>
    <n v="34.700000000000003"/>
    <n v="36.5"/>
    <n v="36.9"/>
    <n v="30.6"/>
    <n v="48.5"/>
    <n v="36.700000000000003"/>
    <x v="7"/>
  </r>
  <r>
    <x v="1"/>
    <s v="S.Africa"/>
    <s v="M2-1_M2-1_M2-1_protein_7602:8189_forward"/>
    <n v="588"/>
    <n v="0.73099999999999998"/>
    <n v="36.4"/>
    <n v="38.799999999999997"/>
    <n v="34.200000000000003"/>
    <n v="36.200000000000003"/>
    <n v="45.5"/>
    <n v="36.5"/>
    <x v="8"/>
  </r>
  <r>
    <x v="1"/>
    <s v="S.Africa"/>
    <s v="M2-2_M2-2_M2-2_protein_8155:8427_forward"/>
    <n v="273"/>
    <n v="0.69299999999999995"/>
    <n v="28.6"/>
    <n v="35.200000000000003"/>
    <n v="24.2"/>
    <n v="26.4"/>
    <n v="41.3"/>
    <n v="29.700000000000003"/>
    <x v="9"/>
  </r>
  <r>
    <x v="1"/>
    <s v="S.Africa"/>
    <s v="L_L_large_polymerase_8493:14993_forward"/>
    <n v="6501"/>
    <n v="0.69599999999999995"/>
    <n v="31.2"/>
    <n v="36.5"/>
    <n v="31.4"/>
    <n v="25.7"/>
    <n v="42.8"/>
    <n v="33.950000000000003"/>
    <x v="10"/>
  </r>
  <r>
    <x v="1"/>
    <s v="S.Korea"/>
    <s v="NS1_NS1_nonstructural_protein_1_99:518_forward"/>
    <n v="420"/>
    <n v="0.68400000000000005"/>
    <n v="30.7"/>
    <n v="36.4"/>
    <n v="30"/>
    <n v="25.7"/>
    <n v="38.5"/>
    <n v="33.200000000000003"/>
    <x v="0"/>
  </r>
  <r>
    <x v="1"/>
    <s v="S.Korea"/>
    <s v="NS2_NS2_nonstructural_protein_2_626:1000_forward"/>
    <n v="375"/>
    <n v="0.73699999999999999"/>
    <n v="34.700000000000003"/>
    <n v="31.2"/>
    <n v="31.2"/>
    <n v="41.6"/>
    <n v="41.1"/>
    <n v="31.2"/>
    <x v="1"/>
  </r>
  <r>
    <x v="1"/>
    <s v="S.Korea"/>
    <s v="N_N_nucleoprotein_1138:2313_forward"/>
    <n v="1176"/>
    <n v="0.67400000000000004"/>
    <n v="36.9"/>
    <n v="48.7"/>
    <n v="33.4"/>
    <n v="28.6"/>
    <n v="44.1"/>
    <n v="41.05"/>
    <x v="2"/>
  </r>
  <r>
    <x v="1"/>
    <s v="S.Korea"/>
    <s v="P_P_phosphoprotein_2346:3071_forward"/>
    <n v="726"/>
    <n v="0.73699999999999999"/>
    <n v="37.299999999999997"/>
    <n v="43.8"/>
    <n v="36.4"/>
    <n v="31.8"/>
    <n v="46.2"/>
    <n v="40.099999999999994"/>
    <x v="3"/>
  </r>
  <r>
    <x v="1"/>
    <s v="S.Korea"/>
    <s v="M_M_matrix_protein_3261:4031_forward"/>
    <n v="771"/>
    <n v="0.70499999999999996"/>
    <n v="37.200000000000003"/>
    <n v="41.2"/>
    <n v="37"/>
    <n v="33.5"/>
    <n v="49.4"/>
    <n v="39.1"/>
    <x v="4"/>
  </r>
  <r>
    <x v="1"/>
    <s v="S.Korea"/>
    <s v="SH_SH_small_hydrophobic_protein_4300:4497_forward"/>
    <n v="198"/>
    <n v="0.65"/>
    <n v="29.8"/>
    <n v="28.8"/>
    <n v="27.3"/>
    <n v="33.299999999999997"/>
    <n v="33.9"/>
    <n v="28.05"/>
    <x v="5"/>
  </r>
  <r>
    <x v="1"/>
    <s v="S.Korea"/>
    <s v="G_G_attachment_glycoprotein_4687:5625_forward"/>
    <n v="930"/>
    <n v="0.747"/>
    <n v="40.6"/>
    <n v="35.799999999999997"/>
    <n v="49.7"/>
    <n v="36.5"/>
    <n v="48.2"/>
    <n v="42.75"/>
    <x v="6"/>
  </r>
  <r>
    <x v="1"/>
    <s v="S.Korea"/>
    <s v="F_F_fusion_glycoprotein_5723:7447_forward"/>
    <n v="1725"/>
    <n v="0.69599999999999995"/>
    <n v="34.4"/>
    <n v="36.200000000000003"/>
    <n v="36.299999999999997"/>
    <n v="30.8"/>
    <n v="48.6"/>
    <n v="36.25"/>
    <x v="7"/>
  </r>
  <r>
    <x v="1"/>
    <s v="S.Korea"/>
    <s v="M2_M2_M2-1_protein_7674:8261_forward"/>
    <n v="588"/>
    <n v="0.73699999999999999"/>
    <n v="36.4"/>
    <n v="38.299999999999997"/>
    <n v="34.200000000000003"/>
    <n v="36.700000000000003"/>
    <n v="44.1"/>
    <n v="36.25"/>
    <x v="8"/>
  </r>
  <r>
    <x v="1"/>
    <s v="S.Korea"/>
    <s v="M2_M2_M2-2_protein_8227:8499_forward"/>
    <n v="273"/>
    <n v="0.69299999999999995"/>
    <n v="27.8"/>
    <n v="34.1"/>
    <n v="23.1"/>
    <n v="26.4"/>
    <n v="40.9"/>
    <n v="28.6"/>
    <x v="9"/>
  </r>
  <r>
    <x v="1"/>
    <s v="S.Korea"/>
    <s v="L_L_RNA-dependent_RNA_polymerase_8565:15065_forward"/>
    <n v="6501"/>
    <n v="0.69499999999999995"/>
    <n v="31.2"/>
    <n v="36.299999999999997"/>
    <n v="31.6"/>
    <n v="25.6"/>
    <n v="42.9"/>
    <n v="33.950000000000003"/>
    <x v="10"/>
  </r>
  <r>
    <x v="1"/>
    <s v="Thailand"/>
    <s v="NS1_NS1_nonstructural_protein_1_11:430_forward"/>
    <n v="420"/>
    <n v="0.67400000000000004"/>
    <n v="30"/>
    <n v="36.4"/>
    <n v="30"/>
    <n v="23.6"/>
    <n v="37.6"/>
    <n v="33.200000000000003"/>
    <x v="0"/>
  </r>
  <r>
    <x v="1"/>
    <s v="Thailand"/>
    <s v="NS2_NS2_nonstructural_protein_2_538:912_forward"/>
    <n v="375"/>
    <n v="0.745"/>
    <n v="34.9"/>
    <n v="32"/>
    <n v="31.2"/>
    <n v="41.6"/>
    <n v="41.2"/>
    <n v="31.6"/>
    <x v="1"/>
  </r>
  <r>
    <x v="1"/>
    <s v="Thailand"/>
    <s v="N_N_nucleocapsid_protein_1050:2225_forward"/>
    <n v="1176"/>
    <n v="0.67600000000000005"/>
    <n v="36.799999999999997"/>
    <n v="48.7"/>
    <n v="33.4"/>
    <n v="28.3"/>
    <n v="44.1"/>
    <n v="41.05"/>
    <x v="2"/>
  </r>
  <r>
    <x v="1"/>
    <s v="Thailand"/>
    <s v="P_P_phosphoprotein_2258:2983_forward"/>
    <n v="726"/>
    <n v="0.745"/>
    <n v="38"/>
    <n v="44.2"/>
    <n v="36.4"/>
    <n v="33.5"/>
    <n v="46.2"/>
    <n v="40.299999999999997"/>
    <x v="3"/>
  </r>
  <r>
    <x v="1"/>
    <s v="Thailand"/>
    <s v="M_M_matrix_protein_3173:3943_forward"/>
    <n v="771"/>
    <n v="0.7"/>
    <n v="37.700000000000003"/>
    <n v="41.6"/>
    <n v="37"/>
    <n v="34.6"/>
    <n v="49.1"/>
    <n v="39.299999999999997"/>
    <x v="4"/>
  </r>
  <r>
    <x v="1"/>
    <s v="Thailand"/>
    <s v="SH_SH_small_hydrophobic_protein_4212:4409_forward"/>
    <n v="198"/>
    <n v="0.64100000000000001"/>
    <n v="30.3"/>
    <n v="28.8"/>
    <n v="27.3"/>
    <n v="34.799999999999997"/>
    <n v="33.9"/>
    <n v="28.05"/>
    <x v="5"/>
  </r>
  <r>
    <x v="1"/>
    <s v="Thailand"/>
    <s v="G_G_attachment_glycoprotein_4598:5530_forward"/>
    <n v="933"/>
    <n v="0.747"/>
    <n v="40.200000000000003"/>
    <n v="35"/>
    <n v="48.6"/>
    <n v="37"/>
    <n v="44.7"/>
    <n v="41.8"/>
    <x v="6"/>
  </r>
  <r>
    <x v="1"/>
    <s v="Thailand"/>
    <s v="F_F_fusion_protein_5628:7352_forward"/>
    <n v="1725"/>
    <n v="0.69399999999999995"/>
    <n v="34.5"/>
    <n v="36.5"/>
    <n v="36.299999999999997"/>
    <n v="30.6"/>
    <n v="47.6"/>
    <n v="36.4"/>
    <x v="7"/>
  </r>
  <r>
    <x v="1"/>
    <s v="Thailand"/>
    <s v="M2-1_M2-1_M2-1_protein_7579:8166_forward"/>
    <n v="588"/>
    <n v="0.73099999999999998"/>
    <n v="36.700000000000003"/>
    <n v="38.799999999999997"/>
    <n v="34.200000000000003"/>
    <n v="37.200000000000003"/>
    <n v="44.8"/>
    <n v="36.5"/>
    <x v="8"/>
  </r>
  <r>
    <x v="1"/>
    <s v="Thailand"/>
    <s v="M2-2_M2-2_M2-2_protein_8132:8404_forward"/>
    <n v="273"/>
    <n v="0.68600000000000005"/>
    <n v="28.2"/>
    <n v="35.200000000000003"/>
    <n v="24.2"/>
    <n v="25.3"/>
    <n v="45"/>
    <n v="29.700000000000003"/>
    <x v="9"/>
  </r>
  <r>
    <x v="1"/>
    <s v="Thailand"/>
    <s v="L_L_RNA-directed_RNA_polymerase_8470:14970_forward"/>
    <n v="6501"/>
    <n v="0.69599999999999995"/>
    <n v="31.2"/>
    <n v="36.4"/>
    <n v="31.5"/>
    <n v="25.8"/>
    <n v="42.8"/>
    <n v="33.950000000000003"/>
    <x v="10"/>
  </r>
  <r>
    <x v="1"/>
    <s v="USA"/>
    <s v="NS1_NS1_nonstructural_protein_1_98:517_forward"/>
    <n v="420"/>
    <n v="0.68200000000000005"/>
    <n v="30.2"/>
    <n v="36.4"/>
    <n v="30"/>
    <n v="24.3"/>
    <n v="37.799999999999997"/>
    <n v="33.200000000000003"/>
    <x v="0"/>
  </r>
  <r>
    <x v="1"/>
    <s v="USA"/>
    <s v="NS2_NS2_nonstructural_protein_2_625:999_forward"/>
    <n v="375"/>
    <n v="0.73899999999999999"/>
    <n v="34.700000000000003"/>
    <n v="30.4"/>
    <n v="31.2"/>
    <n v="42.4"/>
    <n v="37.1"/>
    <n v="30.799999999999997"/>
    <x v="1"/>
  </r>
  <r>
    <x v="1"/>
    <s v="USA"/>
    <s v="N_N_nucleoprotein_1137:2312_forward"/>
    <n v="1176"/>
    <n v="0.67700000000000005"/>
    <n v="37"/>
    <n v="48.7"/>
    <n v="33.200000000000003"/>
    <n v="29.1"/>
    <n v="44.2"/>
    <n v="40.950000000000003"/>
    <x v="2"/>
  </r>
  <r>
    <x v="1"/>
    <s v="USA"/>
    <s v="P_P_phosphoprotein_2345:3070_forward"/>
    <n v="726"/>
    <n v="0.73799999999999999"/>
    <n v="37.299999999999997"/>
    <n v="43.8"/>
    <n v="36.4"/>
    <n v="31.8"/>
    <n v="45.8"/>
    <n v="40.099999999999994"/>
    <x v="3"/>
  </r>
  <r>
    <x v="1"/>
    <s v="USA"/>
    <s v="M_M_matrix_protein_3263:4033_forward"/>
    <n v="771"/>
    <n v="0.70499999999999996"/>
    <n v="37.200000000000003"/>
    <n v="41.2"/>
    <n v="37"/>
    <n v="33.5"/>
    <n v="49.4"/>
    <n v="39.1"/>
    <x v="4"/>
  </r>
  <r>
    <x v="1"/>
    <s v="USA"/>
    <s v="SH_SH_small_hydrophobic_protein_4302:4499_forward"/>
    <n v="198"/>
    <n v="0.64800000000000002"/>
    <n v="29.3"/>
    <n v="28.8"/>
    <n v="27.3"/>
    <n v="31.8"/>
    <n v="33.9"/>
    <n v="28.05"/>
    <x v="5"/>
  </r>
  <r>
    <x v="1"/>
    <s v="USA"/>
    <s v="G_G_attachment_glycoprotein_4688:5641_forward"/>
    <n v="954"/>
    <n v="0.747"/>
    <n v="40.799999999999997"/>
    <n v="36.200000000000003"/>
    <n v="48.4"/>
    <n v="37.700000000000003"/>
    <n v="46.4"/>
    <n v="42.3"/>
    <x v="6"/>
  </r>
  <r>
    <x v="1"/>
    <s v="USA"/>
    <s v="F_F_fusion_glycoprotein_5718:7442_forward"/>
    <n v="1725"/>
    <n v="0.69299999999999995"/>
    <n v="34.5"/>
    <n v="36.5"/>
    <n v="36.5"/>
    <n v="30.4"/>
    <n v="48"/>
    <n v="36.5"/>
    <x v="7"/>
  </r>
  <r>
    <x v="1"/>
    <s v="USA"/>
    <s v="M2_M2_M2-1_protein_7669:8256_forward"/>
    <n v="588"/>
    <n v="0.73099999999999998"/>
    <n v="36.200000000000003"/>
    <n v="38.299999999999997"/>
    <n v="34.200000000000003"/>
    <n v="36.200000000000003"/>
    <n v="46.3"/>
    <n v="36.25"/>
    <x v="8"/>
  </r>
  <r>
    <x v="1"/>
    <s v="USA"/>
    <s v="M2_M2_M2-2_protein_8222:8494_forward"/>
    <n v="273"/>
    <n v="0.67900000000000005"/>
    <n v="27.8"/>
    <n v="34.1"/>
    <n v="24.2"/>
    <n v="25.3"/>
    <n v="43.8"/>
    <n v="29.15"/>
    <x v="9"/>
  </r>
  <r>
    <x v="1"/>
    <s v="USA"/>
    <s v="L_L_RNA-dependent_RNA_polymerase_8560:15060_forward"/>
    <n v="6501"/>
    <n v="0.69499999999999995"/>
    <n v="31.2"/>
    <n v="36.5"/>
    <n v="31.5"/>
    <n v="25.6"/>
    <n v="42.8"/>
    <n v="3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5E5B0-69B3-49EE-BFCE-846B0E724F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D14" firstHeaderRow="1" firstDataRow="2" firstDataCol="1"/>
  <pivotFields count="12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7"/>
        <item x="6"/>
        <item x="10"/>
        <item x="4"/>
        <item x="8"/>
        <item x="9"/>
        <item x="2"/>
        <item x="0"/>
        <item x="1"/>
        <item x="3"/>
        <item x="5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CAI" fld="4" subtotal="average" baseField="11" baseItem="0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2870-E34D-4B7A-A1D1-D6FC5793C2F3}">
  <dimension ref="A1:D14"/>
  <sheetViews>
    <sheetView zoomScale="103" workbookViewId="0">
      <selection activeCell="C3" sqref="C3:C13"/>
    </sheetView>
  </sheetViews>
  <sheetFormatPr defaultRowHeight="14.5" x14ac:dyDescent="0.35"/>
  <cols>
    <col min="1" max="1" width="13.453125" bestFit="1" customWidth="1"/>
    <col min="2" max="2" width="15.26953125" bestFit="1" customWidth="1"/>
    <col min="3" max="4" width="12.08984375" bestFit="1" customWidth="1"/>
  </cols>
  <sheetData>
    <row r="1" spans="1:4" x14ac:dyDescent="0.35">
      <c r="A1" s="2" t="s">
        <v>351</v>
      </c>
      <c r="B1" s="2" t="s">
        <v>337</v>
      </c>
    </row>
    <row r="2" spans="1:4" x14ac:dyDescent="0.35">
      <c r="A2" s="2" t="s">
        <v>339</v>
      </c>
      <c r="B2" t="s">
        <v>10</v>
      </c>
      <c r="C2" t="s">
        <v>175</v>
      </c>
      <c r="D2" t="s">
        <v>338</v>
      </c>
    </row>
    <row r="3" spans="1:4" x14ac:dyDescent="0.35">
      <c r="A3" s="3" t="s">
        <v>340</v>
      </c>
      <c r="B3">
        <v>0.69044444444444453</v>
      </c>
      <c r="C3">
        <v>0.69483333333333308</v>
      </c>
      <c r="D3">
        <v>0.69263888888888892</v>
      </c>
    </row>
    <row r="4" spans="1:4" x14ac:dyDescent="0.35">
      <c r="A4" s="3" t="s">
        <v>341</v>
      </c>
      <c r="B4">
        <v>0.74900000000000011</v>
      </c>
      <c r="C4">
        <v>0.74538888888888888</v>
      </c>
      <c r="D4">
        <v>0.74719444444444427</v>
      </c>
    </row>
    <row r="5" spans="1:4" x14ac:dyDescent="0.35">
      <c r="A5" s="3" t="s">
        <v>342</v>
      </c>
      <c r="B5">
        <v>0.69222222222222229</v>
      </c>
      <c r="C5">
        <v>0.69527777777777777</v>
      </c>
      <c r="D5">
        <v>0.69375000000000031</v>
      </c>
    </row>
    <row r="6" spans="1:4" x14ac:dyDescent="0.35">
      <c r="A6" s="3" t="s">
        <v>343</v>
      </c>
      <c r="B6">
        <v>0.69594444444444437</v>
      </c>
      <c r="C6">
        <v>0.7011666666666666</v>
      </c>
      <c r="D6">
        <v>0.69855555555555537</v>
      </c>
    </row>
    <row r="7" spans="1:4" x14ac:dyDescent="0.35">
      <c r="A7" s="3" t="s">
        <v>344</v>
      </c>
      <c r="B7">
        <v>0.73105555555555546</v>
      </c>
      <c r="C7">
        <v>0.73455555555555552</v>
      </c>
      <c r="D7">
        <v>0.73280555555555571</v>
      </c>
    </row>
    <row r="8" spans="1:4" x14ac:dyDescent="0.35">
      <c r="A8" s="3" t="s">
        <v>345</v>
      </c>
      <c r="B8">
        <v>0.63927777777777772</v>
      </c>
      <c r="C8">
        <v>0.68994444444444425</v>
      </c>
      <c r="D8">
        <v>0.66461111111111126</v>
      </c>
    </row>
    <row r="9" spans="1:4" x14ac:dyDescent="0.35">
      <c r="A9" s="3" t="s">
        <v>346</v>
      </c>
      <c r="B9">
        <v>0.69983333333333331</v>
      </c>
      <c r="C9">
        <v>0.67755555555555558</v>
      </c>
      <c r="D9">
        <v>0.68869444444444416</v>
      </c>
    </row>
    <row r="10" spans="1:4" x14ac:dyDescent="0.35">
      <c r="A10" s="3" t="s">
        <v>347</v>
      </c>
      <c r="B10">
        <v>0.70777777777777784</v>
      </c>
      <c r="C10">
        <v>0.68144444444444441</v>
      </c>
      <c r="D10">
        <v>0.69461111111111096</v>
      </c>
    </row>
    <row r="11" spans="1:4" x14ac:dyDescent="0.35">
      <c r="A11" s="3" t="s">
        <v>348</v>
      </c>
      <c r="B11">
        <v>0.75855555555555543</v>
      </c>
      <c r="C11">
        <v>0.7380000000000001</v>
      </c>
      <c r="D11">
        <v>0.7482777777777776</v>
      </c>
    </row>
    <row r="12" spans="1:4" x14ac:dyDescent="0.35">
      <c r="A12" s="3" t="s">
        <v>349</v>
      </c>
      <c r="B12">
        <v>0.71661111111111098</v>
      </c>
      <c r="C12">
        <v>0.7358888888888887</v>
      </c>
      <c r="D12">
        <v>0.72624999999999984</v>
      </c>
    </row>
    <row r="13" spans="1:4" x14ac:dyDescent="0.35">
      <c r="A13" s="3" t="s">
        <v>350</v>
      </c>
      <c r="B13">
        <v>0.68277777777777782</v>
      </c>
      <c r="C13">
        <v>0.64900000000000013</v>
      </c>
      <c r="D13">
        <v>0.66588888888888886</v>
      </c>
    </row>
    <row r="14" spans="1:4" x14ac:dyDescent="0.35">
      <c r="A14" s="3" t="s">
        <v>338</v>
      </c>
      <c r="B14">
        <v>0.70577272727272711</v>
      </c>
      <c r="C14">
        <v>0.70391414141414188</v>
      </c>
      <c r="D14">
        <v>0.70484343434343433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7"/>
  <sheetViews>
    <sheetView topLeftCell="A422" zoomScale="86" zoomScaleNormal="65" workbookViewId="0">
      <selection activeCell="N10" sqref="N10"/>
    </sheetView>
  </sheetViews>
  <sheetFormatPr defaultRowHeight="14.5" x14ac:dyDescent="0.35"/>
  <cols>
    <col min="3" max="3" width="52.08984375" customWidth="1"/>
    <col min="12" max="12" width="11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335</v>
      </c>
      <c r="L1" s="1" t="s">
        <v>336</v>
      </c>
    </row>
    <row r="2" spans="1:12" x14ac:dyDescent="0.35">
      <c r="A2" t="s">
        <v>10</v>
      </c>
      <c r="B2" t="s">
        <v>11</v>
      </c>
      <c r="C2" t="s">
        <v>12</v>
      </c>
      <c r="D2">
        <v>420</v>
      </c>
      <c r="E2">
        <v>0.71899999999999997</v>
      </c>
      <c r="F2">
        <v>31.4</v>
      </c>
      <c r="G2">
        <v>35</v>
      </c>
      <c r="H2">
        <v>30</v>
      </c>
      <c r="I2">
        <v>29.3</v>
      </c>
      <c r="J2">
        <v>51.5</v>
      </c>
      <c r="K2">
        <f>(G2+H2)/2</f>
        <v>32.5</v>
      </c>
      <c r="L2" t="str">
        <f>IF(ISNUMBER(SEARCH("M2-1",C2)),"M2-1",IF(ISNUMBER(SEARCH("M2-2",C2)),"M2-2",IF(LEFT(C2,3)="NS1","NS1",IF(LEFT(C2,3)="NS2","NS2",IF(LEFT(C2,2)="N_","N",IF(LEFT(C2,2)="P_","P",IF(LEFT(C2,2)="M_","M",IF(LEFT(C2,2)="SH","SH",IF(LEFT(C2,2)="G_","G",IF(LEFT(C2,2)="F_","F",IF(LEFT(C2,2)="L_","L","UNKNOWN")))))))))))</f>
        <v>NS1</v>
      </c>
    </row>
    <row r="3" spans="1:12" x14ac:dyDescent="0.35">
      <c r="A3" t="s">
        <v>10</v>
      </c>
      <c r="B3" t="s">
        <v>11</v>
      </c>
      <c r="C3" t="s">
        <v>13</v>
      </c>
      <c r="D3">
        <v>375</v>
      </c>
      <c r="E3">
        <v>0.76300000000000001</v>
      </c>
      <c r="F3">
        <v>34.4</v>
      </c>
      <c r="G3">
        <v>34.4</v>
      </c>
      <c r="H3">
        <v>32</v>
      </c>
      <c r="I3">
        <v>36.799999999999997</v>
      </c>
      <c r="J3">
        <v>45.2</v>
      </c>
      <c r="K3">
        <f t="shared" ref="K3:K66" si="0">(G3+H3)/2</f>
        <v>33.200000000000003</v>
      </c>
      <c r="L3" t="str">
        <f t="shared" ref="L3:L66" si="1">IF(ISNUMBER(SEARCH("M2-1",C3)),"M2-1",IF(ISNUMBER(SEARCH("M2-2",C3)),"M2-2",IF(LEFT(C3,3)="NS1","NS1",IF(LEFT(C3,3)="NS2","NS2",IF(LEFT(C3,2)="N_","N",IF(LEFT(C3,2)="P_","P",IF(LEFT(C3,2)="M_","M",IF(LEFT(C3,2)="SH","SH",IF(LEFT(C3,2)="G_","G",IF(LEFT(C3,2)="F_","F",IF(LEFT(C3,2)="L_","L","UNKNOWN")))))))))))</f>
        <v>NS2</v>
      </c>
    </row>
    <row r="4" spans="1:12" x14ac:dyDescent="0.35">
      <c r="A4" t="s">
        <v>10</v>
      </c>
      <c r="B4" t="s">
        <v>11</v>
      </c>
      <c r="C4" t="s">
        <v>14</v>
      </c>
      <c r="D4">
        <v>1176</v>
      </c>
      <c r="E4">
        <v>0.70099999999999996</v>
      </c>
      <c r="F4">
        <v>37.200000000000003</v>
      </c>
      <c r="G4">
        <v>48</v>
      </c>
      <c r="H4">
        <v>33.9</v>
      </c>
      <c r="I4">
        <v>29.8</v>
      </c>
      <c r="J4">
        <v>45.5</v>
      </c>
      <c r="K4">
        <f t="shared" si="0"/>
        <v>40.950000000000003</v>
      </c>
      <c r="L4" t="str">
        <f t="shared" si="1"/>
        <v>N</v>
      </c>
    </row>
    <row r="5" spans="1:12" x14ac:dyDescent="0.35">
      <c r="A5" t="s">
        <v>10</v>
      </c>
      <c r="B5" t="s">
        <v>11</v>
      </c>
      <c r="C5" t="s">
        <v>15</v>
      </c>
      <c r="D5">
        <v>726</v>
      </c>
      <c r="E5">
        <v>0.71799999999999997</v>
      </c>
      <c r="F5">
        <v>35.299999999999997</v>
      </c>
      <c r="G5">
        <v>44.2</v>
      </c>
      <c r="H5">
        <v>34.700000000000003</v>
      </c>
      <c r="I5">
        <v>26.9</v>
      </c>
      <c r="J5">
        <v>43.6</v>
      </c>
      <c r="K5">
        <f t="shared" si="0"/>
        <v>39.450000000000003</v>
      </c>
      <c r="L5" t="str">
        <f t="shared" si="1"/>
        <v>P</v>
      </c>
    </row>
    <row r="6" spans="1:12" x14ac:dyDescent="0.35">
      <c r="A6" t="s">
        <v>10</v>
      </c>
      <c r="B6" t="s">
        <v>11</v>
      </c>
      <c r="C6" t="s">
        <v>16</v>
      </c>
      <c r="D6">
        <v>771</v>
      </c>
      <c r="E6">
        <v>0.69799999999999995</v>
      </c>
      <c r="F6">
        <v>36.799999999999997</v>
      </c>
      <c r="G6">
        <v>41.2</v>
      </c>
      <c r="H6">
        <v>36.200000000000003</v>
      </c>
      <c r="I6">
        <v>33.1</v>
      </c>
      <c r="J6">
        <v>39.700000000000003</v>
      </c>
      <c r="K6">
        <f t="shared" si="0"/>
        <v>38.700000000000003</v>
      </c>
      <c r="L6" t="str">
        <f t="shared" si="1"/>
        <v>M</v>
      </c>
    </row>
    <row r="7" spans="1:12" x14ac:dyDescent="0.35">
      <c r="A7" t="s">
        <v>10</v>
      </c>
      <c r="B7" t="s">
        <v>11</v>
      </c>
      <c r="C7" t="s">
        <v>17</v>
      </c>
      <c r="D7">
        <v>195</v>
      </c>
      <c r="E7">
        <v>0.68</v>
      </c>
      <c r="F7">
        <v>31.8</v>
      </c>
      <c r="G7">
        <v>26.2</v>
      </c>
      <c r="H7">
        <v>30.8</v>
      </c>
      <c r="I7">
        <v>38.5</v>
      </c>
      <c r="J7">
        <v>44.5</v>
      </c>
      <c r="K7">
        <f t="shared" si="0"/>
        <v>28.5</v>
      </c>
      <c r="L7" t="str">
        <f t="shared" si="1"/>
        <v>SH</v>
      </c>
    </row>
    <row r="8" spans="1:12" x14ac:dyDescent="0.35">
      <c r="A8" t="s">
        <v>10</v>
      </c>
      <c r="B8" t="s">
        <v>11</v>
      </c>
      <c r="C8" t="s">
        <v>18</v>
      </c>
      <c r="D8">
        <v>966</v>
      </c>
      <c r="E8">
        <v>0.74099999999999999</v>
      </c>
      <c r="F8">
        <v>43.1</v>
      </c>
      <c r="G8">
        <v>35.700000000000003</v>
      </c>
      <c r="H8">
        <v>49.1</v>
      </c>
      <c r="I8">
        <v>44.4</v>
      </c>
      <c r="J8">
        <v>48.8</v>
      </c>
      <c r="K8">
        <f t="shared" si="0"/>
        <v>42.400000000000006</v>
      </c>
      <c r="L8" t="str">
        <f t="shared" si="1"/>
        <v>G</v>
      </c>
    </row>
    <row r="9" spans="1:12" x14ac:dyDescent="0.35">
      <c r="A9" t="s">
        <v>10</v>
      </c>
      <c r="B9" t="s">
        <v>11</v>
      </c>
      <c r="C9" t="s">
        <v>19</v>
      </c>
      <c r="D9">
        <v>1725</v>
      </c>
      <c r="E9">
        <v>0.69499999999999995</v>
      </c>
      <c r="F9">
        <v>35.299999999999997</v>
      </c>
      <c r="G9">
        <v>37.4</v>
      </c>
      <c r="H9">
        <v>37.6</v>
      </c>
      <c r="I9">
        <v>31</v>
      </c>
      <c r="J9">
        <v>46.3</v>
      </c>
      <c r="K9">
        <f t="shared" si="0"/>
        <v>37.5</v>
      </c>
      <c r="L9" t="str">
        <f t="shared" si="1"/>
        <v>F</v>
      </c>
    </row>
    <row r="10" spans="1:12" x14ac:dyDescent="0.35">
      <c r="A10" t="s">
        <v>10</v>
      </c>
      <c r="B10" t="s">
        <v>11</v>
      </c>
      <c r="C10" t="s">
        <v>20</v>
      </c>
      <c r="D10">
        <v>585</v>
      </c>
      <c r="E10">
        <v>0.72799999999999998</v>
      </c>
      <c r="F10">
        <v>36.6</v>
      </c>
      <c r="G10">
        <v>40</v>
      </c>
      <c r="H10">
        <v>35.4</v>
      </c>
      <c r="I10">
        <v>34.4</v>
      </c>
      <c r="J10">
        <v>48.8</v>
      </c>
      <c r="K10">
        <f t="shared" si="0"/>
        <v>37.700000000000003</v>
      </c>
      <c r="L10" t="str">
        <f t="shared" si="1"/>
        <v>M2-1</v>
      </c>
    </row>
    <row r="11" spans="1:12" x14ac:dyDescent="0.35">
      <c r="A11" t="s">
        <v>10</v>
      </c>
      <c r="B11" t="s">
        <v>11</v>
      </c>
      <c r="C11" t="s">
        <v>21</v>
      </c>
      <c r="D11">
        <v>267</v>
      </c>
      <c r="E11">
        <v>0.63800000000000001</v>
      </c>
      <c r="F11">
        <v>28.8</v>
      </c>
      <c r="G11">
        <v>36</v>
      </c>
      <c r="H11">
        <v>27</v>
      </c>
      <c r="I11">
        <v>23.6</v>
      </c>
      <c r="J11">
        <v>44.2</v>
      </c>
      <c r="K11">
        <f t="shared" si="0"/>
        <v>31.5</v>
      </c>
      <c r="L11" t="str">
        <f t="shared" si="1"/>
        <v>M2-2</v>
      </c>
    </row>
    <row r="12" spans="1:12" x14ac:dyDescent="0.35">
      <c r="A12" t="s">
        <v>10</v>
      </c>
      <c r="B12" t="s">
        <v>11</v>
      </c>
      <c r="C12" t="s">
        <v>22</v>
      </c>
      <c r="D12">
        <v>6498</v>
      </c>
      <c r="E12">
        <v>0.69299999999999995</v>
      </c>
      <c r="F12">
        <v>30.9</v>
      </c>
      <c r="G12">
        <v>35.9</v>
      </c>
      <c r="H12">
        <v>30.9</v>
      </c>
      <c r="I12">
        <v>25.9</v>
      </c>
      <c r="J12">
        <v>41.9</v>
      </c>
      <c r="K12">
        <f t="shared" si="0"/>
        <v>33.4</v>
      </c>
      <c r="L12" t="str">
        <f t="shared" si="1"/>
        <v>L</v>
      </c>
    </row>
    <row r="13" spans="1:12" x14ac:dyDescent="0.35">
      <c r="A13" t="s">
        <v>10</v>
      </c>
      <c r="B13" t="s">
        <v>23</v>
      </c>
      <c r="C13" t="s">
        <v>24</v>
      </c>
      <c r="D13">
        <v>420</v>
      </c>
      <c r="E13">
        <v>0.70899999999999996</v>
      </c>
      <c r="F13">
        <v>30.5</v>
      </c>
      <c r="G13">
        <v>35</v>
      </c>
      <c r="H13">
        <v>29.3</v>
      </c>
      <c r="I13">
        <v>27.1</v>
      </c>
      <c r="J13">
        <v>47.9</v>
      </c>
      <c r="K13">
        <f t="shared" si="0"/>
        <v>32.15</v>
      </c>
      <c r="L13" t="str">
        <f t="shared" si="1"/>
        <v>NS1</v>
      </c>
    </row>
    <row r="14" spans="1:12" x14ac:dyDescent="0.35">
      <c r="A14" t="s">
        <v>10</v>
      </c>
      <c r="B14" t="s">
        <v>23</v>
      </c>
      <c r="C14" t="s">
        <v>25</v>
      </c>
      <c r="D14">
        <v>375</v>
      </c>
      <c r="E14">
        <v>0.75900000000000001</v>
      </c>
      <c r="F14">
        <v>33.6</v>
      </c>
      <c r="G14">
        <v>34.4</v>
      </c>
      <c r="H14">
        <v>31.2</v>
      </c>
      <c r="I14">
        <v>35.200000000000003</v>
      </c>
      <c r="J14">
        <v>42</v>
      </c>
      <c r="K14">
        <f t="shared" si="0"/>
        <v>32.799999999999997</v>
      </c>
      <c r="L14" t="str">
        <f t="shared" si="1"/>
        <v>NS2</v>
      </c>
    </row>
    <row r="15" spans="1:12" x14ac:dyDescent="0.35">
      <c r="A15" t="s">
        <v>10</v>
      </c>
      <c r="B15" t="s">
        <v>23</v>
      </c>
      <c r="C15" t="s">
        <v>26</v>
      </c>
      <c r="D15">
        <v>1176</v>
      </c>
      <c r="E15">
        <v>0.70099999999999996</v>
      </c>
      <c r="F15">
        <v>37</v>
      </c>
      <c r="G15">
        <v>47.7</v>
      </c>
      <c r="H15">
        <v>33.9</v>
      </c>
      <c r="I15">
        <v>29.3</v>
      </c>
      <c r="J15">
        <v>45.2</v>
      </c>
      <c r="K15">
        <f t="shared" si="0"/>
        <v>40.799999999999997</v>
      </c>
      <c r="L15" t="str">
        <f t="shared" si="1"/>
        <v>N</v>
      </c>
    </row>
    <row r="16" spans="1:12" x14ac:dyDescent="0.35">
      <c r="A16" t="s">
        <v>10</v>
      </c>
      <c r="B16" t="s">
        <v>23</v>
      </c>
      <c r="C16" t="s">
        <v>27</v>
      </c>
      <c r="D16">
        <v>726</v>
      </c>
      <c r="E16">
        <v>0.71799999999999997</v>
      </c>
      <c r="F16">
        <v>35.700000000000003</v>
      </c>
      <c r="G16">
        <v>44.6</v>
      </c>
      <c r="H16">
        <v>35.1</v>
      </c>
      <c r="I16">
        <v>27.3</v>
      </c>
      <c r="J16">
        <v>44.6</v>
      </c>
      <c r="K16">
        <f t="shared" si="0"/>
        <v>39.85</v>
      </c>
      <c r="L16" t="str">
        <f t="shared" si="1"/>
        <v>P</v>
      </c>
    </row>
    <row r="17" spans="1:12" x14ac:dyDescent="0.35">
      <c r="A17" t="s">
        <v>10</v>
      </c>
      <c r="B17" t="s">
        <v>23</v>
      </c>
      <c r="C17" t="s">
        <v>28</v>
      </c>
      <c r="D17">
        <v>771</v>
      </c>
      <c r="E17">
        <v>0.7</v>
      </c>
      <c r="F17">
        <v>37</v>
      </c>
      <c r="G17">
        <v>41.2</v>
      </c>
      <c r="H17">
        <v>36.200000000000003</v>
      </c>
      <c r="I17">
        <v>33.5</v>
      </c>
      <c r="J17">
        <v>39.4</v>
      </c>
      <c r="K17">
        <f t="shared" si="0"/>
        <v>38.700000000000003</v>
      </c>
      <c r="L17" t="str">
        <f t="shared" si="1"/>
        <v>M</v>
      </c>
    </row>
    <row r="18" spans="1:12" x14ac:dyDescent="0.35">
      <c r="A18" t="s">
        <v>10</v>
      </c>
      <c r="B18" t="s">
        <v>23</v>
      </c>
      <c r="C18" t="s">
        <v>29</v>
      </c>
      <c r="D18">
        <v>195</v>
      </c>
      <c r="E18">
        <v>0.68200000000000005</v>
      </c>
      <c r="F18">
        <v>32.799999999999997</v>
      </c>
      <c r="G18">
        <v>26.2</v>
      </c>
      <c r="H18">
        <v>32.299999999999997</v>
      </c>
      <c r="I18">
        <v>40</v>
      </c>
      <c r="J18">
        <v>45.5</v>
      </c>
      <c r="K18">
        <f t="shared" si="0"/>
        <v>29.25</v>
      </c>
      <c r="L18" t="str">
        <f t="shared" si="1"/>
        <v>SH</v>
      </c>
    </row>
    <row r="19" spans="1:12" x14ac:dyDescent="0.35">
      <c r="A19" t="s">
        <v>10</v>
      </c>
      <c r="B19" t="s">
        <v>23</v>
      </c>
      <c r="C19" t="s">
        <v>30</v>
      </c>
      <c r="D19">
        <v>963</v>
      </c>
      <c r="E19">
        <v>0.76100000000000001</v>
      </c>
      <c r="F19">
        <v>44.8</v>
      </c>
      <c r="G19">
        <v>37.700000000000003</v>
      </c>
      <c r="H19">
        <v>50.5</v>
      </c>
      <c r="I19">
        <v>46.1</v>
      </c>
      <c r="J19">
        <v>46.9</v>
      </c>
      <c r="K19">
        <f t="shared" si="0"/>
        <v>44.1</v>
      </c>
      <c r="L19" t="str">
        <f t="shared" si="1"/>
        <v>G</v>
      </c>
    </row>
    <row r="20" spans="1:12" x14ac:dyDescent="0.35">
      <c r="A20" t="s">
        <v>10</v>
      </c>
      <c r="B20" t="s">
        <v>23</v>
      </c>
      <c r="C20" t="s">
        <v>31</v>
      </c>
      <c r="D20">
        <v>1725</v>
      </c>
      <c r="E20">
        <v>0.68899999999999995</v>
      </c>
      <c r="F20">
        <v>35.200000000000003</v>
      </c>
      <c r="G20">
        <v>37.6</v>
      </c>
      <c r="H20">
        <v>37.4</v>
      </c>
      <c r="I20">
        <v>30.6</v>
      </c>
      <c r="J20">
        <v>46</v>
      </c>
      <c r="K20">
        <f t="shared" si="0"/>
        <v>37.5</v>
      </c>
      <c r="L20" t="str">
        <f t="shared" si="1"/>
        <v>F</v>
      </c>
    </row>
    <row r="21" spans="1:12" x14ac:dyDescent="0.35">
      <c r="A21" t="s">
        <v>10</v>
      </c>
      <c r="B21" t="s">
        <v>23</v>
      </c>
      <c r="C21" t="s">
        <v>32</v>
      </c>
      <c r="D21">
        <v>585</v>
      </c>
      <c r="E21">
        <v>0.73099999999999998</v>
      </c>
      <c r="F21">
        <v>36.4</v>
      </c>
      <c r="G21">
        <v>39</v>
      </c>
      <c r="H21">
        <v>34.9</v>
      </c>
      <c r="I21">
        <v>35.4</v>
      </c>
      <c r="J21">
        <v>48</v>
      </c>
      <c r="K21">
        <f t="shared" si="0"/>
        <v>36.950000000000003</v>
      </c>
      <c r="L21" t="str">
        <f t="shared" si="1"/>
        <v>M2-1</v>
      </c>
    </row>
    <row r="22" spans="1:12" x14ac:dyDescent="0.35">
      <c r="A22" t="s">
        <v>10</v>
      </c>
      <c r="B22" t="s">
        <v>23</v>
      </c>
      <c r="C22" t="s">
        <v>33</v>
      </c>
      <c r="D22">
        <v>267</v>
      </c>
      <c r="E22">
        <v>0.64</v>
      </c>
      <c r="F22">
        <v>28.5</v>
      </c>
      <c r="G22">
        <v>34.799999999999997</v>
      </c>
      <c r="H22">
        <v>27</v>
      </c>
      <c r="I22">
        <v>23.6</v>
      </c>
      <c r="J22">
        <v>43.1</v>
      </c>
      <c r="K22">
        <f t="shared" si="0"/>
        <v>30.9</v>
      </c>
      <c r="L22" t="str">
        <f t="shared" si="1"/>
        <v>M2-2</v>
      </c>
    </row>
    <row r="23" spans="1:12" x14ac:dyDescent="0.35">
      <c r="A23" t="s">
        <v>10</v>
      </c>
      <c r="B23" t="s">
        <v>23</v>
      </c>
      <c r="C23" t="s">
        <v>34</v>
      </c>
      <c r="D23">
        <v>6498</v>
      </c>
      <c r="E23">
        <v>0.69199999999999995</v>
      </c>
      <c r="F23">
        <v>30.9</v>
      </c>
      <c r="G23">
        <v>36.1</v>
      </c>
      <c r="H23">
        <v>31</v>
      </c>
      <c r="I23">
        <v>25.6</v>
      </c>
      <c r="J23">
        <v>41.5</v>
      </c>
      <c r="K23">
        <f t="shared" si="0"/>
        <v>33.549999999999997</v>
      </c>
      <c r="L23" t="str">
        <f t="shared" si="1"/>
        <v>L</v>
      </c>
    </row>
    <row r="24" spans="1:12" x14ac:dyDescent="0.35">
      <c r="A24" t="s">
        <v>10</v>
      </c>
      <c r="B24" t="s">
        <v>35</v>
      </c>
      <c r="C24" t="s">
        <v>36</v>
      </c>
      <c r="D24">
        <v>420</v>
      </c>
      <c r="E24">
        <v>0.71799999999999997</v>
      </c>
      <c r="F24">
        <v>31.4</v>
      </c>
      <c r="G24">
        <v>34.299999999999997</v>
      </c>
      <c r="H24">
        <v>29.3</v>
      </c>
      <c r="I24">
        <v>30.7</v>
      </c>
      <c r="J24">
        <v>52.2</v>
      </c>
      <c r="K24">
        <f t="shared" si="0"/>
        <v>31.799999999999997</v>
      </c>
      <c r="L24" t="str">
        <f t="shared" si="1"/>
        <v>NS1</v>
      </c>
    </row>
    <row r="25" spans="1:12" x14ac:dyDescent="0.35">
      <c r="A25" t="s">
        <v>10</v>
      </c>
      <c r="B25" t="s">
        <v>35</v>
      </c>
      <c r="C25" t="s">
        <v>37</v>
      </c>
      <c r="D25">
        <v>375</v>
      </c>
      <c r="E25">
        <v>0.755</v>
      </c>
      <c r="F25">
        <v>33.9</v>
      </c>
      <c r="G25">
        <v>34.4</v>
      </c>
      <c r="H25">
        <v>33.6</v>
      </c>
      <c r="I25">
        <v>33.6</v>
      </c>
      <c r="J25">
        <v>44.4</v>
      </c>
      <c r="K25">
        <f t="shared" si="0"/>
        <v>34</v>
      </c>
      <c r="L25" t="str">
        <f t="shared" si="1"/>
        <v>NS2</v>
      </c>
    </row>
    <row r="26" spans="1:12" x14ac:dyDescent="0.35">
      <c r="A26" t="s">
        <v>10</v>
      </c>
      <c r="B26" t="s">
        <v>35</v>
      </c>
      <c r="C26" t="s">
        <v>38</v>
      </c>
      <c r="D26">
        <v>1176</v>
      </c>
      <c r="E26">
        <v>0.69399999999999995</v>
      </c>
      <c r="F26">
        <v>37.200000000000003</v>
      </c>
      <c r="G26">
        <v>48.7</v>
      </c>
      <c r="H26">
        <v>34.200000000000003</v>
      </c>
      <c r="I26">
        <v>28.8</v>
      </c>
      <c r="J26">
        <v>46</v>
      </c>
      <c r="K26">
        <f t="shared" si="0"/>
        <v>41.45</v>
      </c>
      <c r="L26" t="str">
        <f t="shared" si="1"/>
        <v>N</v>
      </c>
    </row>
    <row r="27" spans="1:12" x14ac:dyDescent="0.35">
      <c r="A27" t="s">
        <v>10</v>
      </c>
      <c r="B27" t="s">
        <v>35</v>
      </c>
      <c r="C27" t="s">
        <v>39</v>
      </c>
      <c r="D27">
        <v>726</v>
      </c>
      <c r="E27">
        <v>0.72799999999999998</v>
      </c>
      <c r="F27">
        <v>36.200000000000003</v>
      </c>
      <c r="G27">
        <v>43.8</v>
      </c>
      <c r="H27">
        <v>36</v>
      </c>
      <c r="I27">
        <v>28.9</v>
      </c>
      <c r="J27">
        <v>47.3</v>
      </c>
      <c r="K27">
        <f t="shared" si="0"/>
        <v>39.9</v>
      </c>
      <c r="L27" t="str">
        <f t="shared" si="1"/>
        <v>P</v>
      </c>
    </row>
    <row r="28" spans="1:12" x14ac:dyDescent="0.35">
      <c r="A28" t="s">
        <v>10</v>
      </c>
      <c r="B28" t="s">
        <v>35</v>
      </c>
      <c r="C28" t="s">
        <v>40</v>
      </c>
      <c r="D28">
        <v>771</v>
      </c>
      <c r="E28">
        <v>0.69699999999999995</v>
      </c>
      <c r="F28">
        <v>36.4</v>
      </c>
      <c r="G28">
        <v>40.5</v>
      </c>
      <c r="H28">
        <v>36.200000000000003</v>
      </c>
      <c r="I28">
        <v>32.700000000000003</v>
      </c>
      <c r="J28">
        <v>39.6</v>
      </c>
      <c r="K28">
        <f t="shared" si="0"/>
        <v>38.35</v>
      </c>
      <c r="L28" t="str">
        <f t="shared" si="1"/>
        <v>M</v>
      </c>
    </row>
    <row r="29" spans="1:12" x14ac:dyDescent="0.35">
      <c r="A29" t="s">
        <v>10</v>
      </c>
      <c r="B29" t="s">
        <v>35</v>
      </c>
      <c r="C29" t="s">
        <v>41</v>
      </c>
      <c r="D29">
        <v>195</v>
      </c>
      <c r="E29">
        <v>0.67600000000000005</v>
      </c>
      <c r="F29">
        <v>31.8</v>
      </c>
      <c r="G29">
        <v>27.7</v>
      </c>
      <c r="H29">
        <v>30.8</v>
      </c>
      <c r="I29">
        <v>36.9</v>
      </c>
      <c r="J29">
        <v>36.5</v>
      </c>
      <c r="K29">
        <f t="shared" si="0"/>
        <v>29.25</v>
      </c>
      <c r="L29" t="str">
        <f t="shared" si="1"/>
        <v>SH</v>
      </c>
    </row>
    <row r="30" spans="1:12" x14ac:dyDescent="0.35">
      <c r="A30" t="s">
        <v>10</v>
      </c>
      <c r="B30" t="s">
        <v>35</v>
      </c>
      <c r="C30" t="s">
        <v>42</v>
      </c>
      <c r="D30">
        <v>897</v>
      </c>
      <c r="E30">
        <v>0.74299999999999999</v>
      </c>
      <c r="F30">
        <v>41.9</v>
      </c>
      <c r="G30">
        <v>36.1</v>
      </c>
      <c r="H30">
        <v>45.8</v>
      </c>
      <c r="I30">
        <v>43.8</v>
      </c>
      <c r="J30">
        <v>50.3</v>
      </c>
      <c r="K30">
        <f t="shared" si="0"/>
        <v>40.950000000000003</v>
      </c>
      <c r="L30" t="str">
        <f t="shared" si="1"/>
        <v>G</v>
      </c>
    </row>
    <row r="31" spans="1:12" x14ac:dyDescent="0.35">
      <c r="A31" t="s">
        <v>10</v>
      </c>
      <c r="B31" t="s">
        <v>35</v>
      </c>
      <c r="C31" t="s">
        <v>43</v>
      </c>
      <c r="D31">
        <v>1725</v>
      </c>
      <c r="E31">
        <v>0.69</v>
      </c>
      <c r="F31">
        <v>34.6</v>
      </c>
      <c r="G31">
        <v>37.200000000000003</v>
      </c>
      <c r="H31">
        <v>36.700000000000003</v>
      </c>
      <c r="I31">
        <v>29.9</v>
      </c>
      <c r="J31">
        <v>45.8</v>
      </c>
      <c r="K31">
        <f t="shared" si="0"/>
        <v>36.950000000000003</v>
      </c>
      <c r="L31" t="str">
        <f t="shared" si="1"/>
        <v>F</v>
      </c>
    </row>
    <row r="32" spans="1:12" x14ac:dyDescent="0.35">
      <c r="A32" t="s">
        <v>10</v>
      </c>
      <c r="B32" t="s">
        <v>35</v>
      </c>
      <c r="C32" t="s">
        <v>44</v>
      </c>
      <c r="D32">
        <v>585</v>
      </c>
      <c r="E32">
        <v>0.73299999999999998</v>
      </c>
      <c r="F32">
        <v>35.200000000000003</v>
      </c>
      <c r="G32">
        <v>39</v>
      </c>
      <c r="H32">
        <v>34.4</v>
      </c>
      <c r="I32">
        <v>32.299999999999997</v>
      </c>
      <c r="J32">
        <v>44</v>
      </c>
      <c r="K32">
        <f t="shared" si="0"/>
        <v>36.700000000000003</v>
      </c>
      <c r="L32" t="str">
        <f t="shared" si="1"/>
        <v>M2-1</v>
      </c>
    </row>
    <row r="33" spans="1:12" x14ac:dyDescent="0.35">
      <c r="A33" t="s">
        <v>10</v>
      </c>
      <c r="B33" t="s">
        <v>35</v>
      </c>
      <c r="C33" t="s">
        <v>45</v>
      </c>
      <c r="D33">
        <v>267</v>
      </c>
      <c r="E33">
        <v>0.65800000000000003</v>
      </c>
      <c r="F33">
        <v>27.7</v>
      </c>
      <c r="G33">
        <v>33.700000000000003</v>
      </c>
      <c r="H33">
        <v>28.1</v>
      </c>
      <c r="I33">
        <v>21.3</v>
      </c>
      <c r="J33">
        <v>44</v>
      </c>
      <c r="K33">
        <f t="shared" si="0"/>
        <v>30.900000000000002</v>
      </c>
      <c r="L33" t="str">
        <f t="shared" si="1"/>
        <v>M2-2</v>
      </c>
    </row>
    <row r="34" spans="1:12" x14ac:dyDescent="0.35">
      <c r="A34" t="s">
        <v>10</v>
      </c>
      <c r="B34" t="s">
        <v>35</v>
      </c>
      <c r="C34" t="s">
        <v>46</v>
      </c>
      <c r="D34">
        <v>6498</v>
      </c>
      <c r="E34">
        <v>0.69499999999999995</v>
      </c>
      <c r="F34">
        <v>30.7</v>
      </c>
      <c r="G34">
        <v>36</v>
      </c>
      <c r="H34">
        <v>30.7</v>
      </c>
      <c r="I34">
        <v>25.5</v>
      </c>
      <c r="J34">
        <v>41.2</v>
      </c>
      <c r="K34">
        <f t="shared" si="0"/>
        <v>33.35</v>
      </c>
      <c r="L34" t="str">
        <f t="shared" si="1"/>
        <v>L</v>
      </c>
    </row>
    <row r="35" spans="1:12" x14ac:dyDescent="0.35">
      <c r="A35" t="s">
        <v>10</v>
      </c>
      <c r="B35" t="s">
        <v>47</v>
      </c>
      <c r="C35" t="s">
        <v>12</v>
      </c>
      <c r="D35">
        <v>420</v>
      </c>
      <c r="E35">
        <v>0.70399999999999996</v>
      </c>
      <c r="F35">
        <v>30.2</v>
      </c>
      <c r="G35">
        <v>35</v>
      </c>
      <c r="H35">
        <v>29.3</v>
      </c>
      <c r="I35">
        <v>26.4</v>
      </c>
      <c r="J35">
        <v>47.6</v>
      </c>
      <c r="K35">
        <f t="shared" si="0"/>
        <v>32.15</v>
      </c>
      <c r="L35" t="str">
        <f t="shared" si="1"/>
        <v>NS1</v>
      </c>
    </row>
    <row r="36" spans="1:12" x14ac:dyDescent="0.35">
      <c r="A36" t="s">
        <v>10</v>
      </c>
      <c r="B36" t="s">
        <v>47</v>
      </c>
      <c r="C36" t="s">
        <v>13</v>
      </c>
      <c r="D36">
        <v>375</v>
      </c>
      <c r="E36">
        <v>0.76300000000000001</v>
      </c>
      <c r="F36">
        <v>34.1</v>
      </c>
      <c r="G36">
        <v>34.4</v>
      </c>
      <c r="H36">
        <v>32</v>
      </c>
      <c r="I36">
        <v>36</v>
      </c>
      <c r="J36">
        <v>42</v>
      </c>
      <c r="K36">
        <f t="shared" si="0"/>
        <v>33.200000000000003</v>
      </c>
      <c r="L36" t="str">
        <f t="shared" si="1"/>
        <v>NS2</v>
      </c>
    </row>
    <row r="37" spans="1:12" x14ac:dyDescent="0.35">
      <c r="A37" t="s">
        <v>10</v>
      </c>
      <c r="B37" t="s">
        <v>47</v>
      </c>
      <c r="C37" t="s">
        <v>14</v>
      </c>
      <c r="D37">
        <v>1176</v>
      </c>
      <c r="E37">
        <v>0.69899999999999995</v>
      </c>
      <c r="F37">
        <v>37.1</v>
      </c>
      <c r="G37">
        <v>48</v>
      </c>
      <c r="H37">
        <v>33.9</v>
      </c>
      <c r="I37">
        <v>29.3</v>
      </c>
      <c r="J37">
        <v>45.4</v>
      </c>
      <c r="K37">
        <f t="shared" si="0"/>
        <v>40.950000000000003</v>
      </c>
      <c r="L37" t="str">
        <f t="shared" si="1"/>
        <v>N</v>
      </c>
    </row>
    <row r="38" spans="1:12" x14ac:dyDescent="0.35">
      <c r="A38" t="s">
        <v>10</v>
      </c>
      <c r="B38" t="s">
        <v>47</v>
      </c>
      <c r="C38" t="s">
        <v>15</v>
      </c>
      <c r="D38">
        <v>726</v>
      </c>
      <c r="E38">
        <v>0.71899999999999997</v>
      </c>
      <c r="F38">
        <v>36</v>
      </c>
      <c r="G38">
        <v>44.6</v>
      </c>
      <c r="H38">
        <v>35.1</v>
      </c>
      <c r="I38">
        <v>28.1</v>
      </c>
      <c r="J38">
        <v>44.6</v>
      </c>
      <c r="K38">
        <f t="shared" si="0"/>
        <v>39.85</v>
      </c>
      <c r="L38" t="str">
        <f t="shared" si="1"/>
        <v>P</v>
      </c>
    </row>
    <row r="39" spans="1:12" x14ac:dyDescent="0.35">
      <c r="A39" t="s">
        <v>10</v>
      </c>
      <c r="B39" t="s">
        <v>47</v>
      </c>
      <c r="C39" t="s">
        <v>48</v>
      </c>
      <c r="D39">
        <v>771</v>
      </c>
      <c r="E39">
        <v>0.69699999999999995</v>
      </c>
      <c r="F39">
        <v>36.799999999999997</v>
      </c>
      <c r="G39">
        <v>41.2</v>
      </c>
      <c r="H39">
        <v>36.200000000000003</v>
      </c>
      <c r="I39">
        <v>33.1</v>
      </c>
      <c r="J39">
        <v>39.799999999999997</v>
      </c>
      <c r="K39">
        <f t="shared" si="0"/>
        <v>38.700000000000003</v>
      </c>
      <c r="L39" t="str">
        <f t="shared" si="1"/>
        <v>M</v>
      </c>
    </row>
    <row r="40" spans="1:12" x14ac:dyDescent="0.35">
      <c r="A40" t="s">
        <v>10</v>
      </c>
      <c r="B40" t="s">
        <v>47</v>
      </c>
      <c r="C40" t="s">
        <v>49</v>
      </c>
      <c r="D40">
        <v>195</v>
      </c>
      <c r="E40">
        <v>0.68400000000000005</v>
      </c>
      <c r="F40">
        <v>32.299999999999997</v>
      </c>
      <c r="G40">
        <v>26.2</v>
      </c>
      <c r="H40">
        <v>30.8</v>
      </c>
      <c r="I40">
        <v>40</v>
      </c>
      <c r="J40">
        <v>44.5</v>
      </c>
      <c r="K40">
        <f t="shared" si="0"/>
        <v>28.5</v>
      </c>
      <c r="L40" t="str">
        <f t="shared" si="1"/>
        <v>SH</v>
      </c>
    </row>
    <row r="41" spans="1:12" x14ac:dyDescent="0.35">
      <c r="A41" t="s">
        <v>10</v>
      </c>
      <c r="B41" t="s">
        <v>47</v>
      </c>
      <c r="C41" t="s">
        <v>50</v>
      </c>
      <c r="D41">
        <v>966</v>
      </c>
      <c r="E41">
        <v>0.74399999999999999</v>
      </c>
      <c r="F41">
        <v>43.4</v>
      </c>
      <c r="G41">
        <v>35.4</v>
      </c>
      <c r="H41">
        <v>49.4</v>
      </c>
      <c r="I41">
        <v>45.3</v>
      </c>
      <c r="J41">
        <v>48.6</v>
      </c>
      <c r="K41">
        <f t="shared" si="0"/>
        <v>42.4</v>
      </c>
      <c r="L41" t="str">
        <f t="shared" si="1"/>
        <v>G</v>
      </c>
    </row>
    <row r="42" spans="1:12" x14ac:dyDescent="0.35">
      <c r="A42" t="s">
        <v>10</v>
      </c>
      <c r="B42" t="s">
        <v>47</v>
      </c>
      <c r="C42" t="s">
        <v>51</v>
      </c>
      <c r="D42">
        <v>1725</v>
      </c>
      <c r="E42">
        <v>0.69</v>
      </c>
      <c r="F42">
        <v>35.1</v>
      </c>
      <c r="G42">
        <v>37.6</v>
      </c>
      <c r="H42">
        <v>37.700000000000003</v>
      </c>
      <c r="I42">
        <v>30.1</v>
      </c>
      <c r="J42">
        <v>45.8</v>
      </c>
      <c r="K42">
        <f t="shared" si="0"/>
        <v>37.650000000000006</v>
      </c>
      <c r="L42" t="str">
        <f t="shared" si="1"/>
        <v>F</v>
      </c>
    </row>
    <row r="43" spans="1:12" x14ac:dyDescent="0.35">
      <c r="A43" t="s">
        <v>10</v>
      </c>
      <c r="B43" t="s">
        <v>47</v>
      </c>
      <c r="C43" t="s">
        <v>52</v>
      </c>
      <c r="D43">
        <v>585</v>
      </c>
      <c r="E43">
        <v>0.73099999999999998</v>
      </c>
      <c r="F43">
        <v>36.4</v>
      </c>
      <c r="G43">
        <v>39</v>
      </c>
      <c r="H43">
        <v>34.9</v>
      </c>
      <c r="I43">
        <v>35.4</v>
      </c>
      <c r="J43">
        <v>48</v>
      </c>
      <c r="K43">
        <f t="shared" si="0"/>
        <v>36.950000000000003</v>
      </c>
      <c r="L43" t="str">
        <f t="shared" si="1"/>
        <v>M2-1</v>
      </c>
    </row>
    <row r="44" spans="1:12" x14ac:dyDescent="0.35">
      <c r="A44" t="s">
        <v>10</v>
      </c>
      <c r="B44" t="s">
        <v>47</v>
      </c>
      <c r="C44" t="s">
        <v>53</v>
      </c>
      <c r="D44">
        <v>267</v>
      </c>
      <c r="E44">
        <v>0.63800000000000001</v>
      </c>
      <c r="F44">
        <v>28.8</v>
      </c>
      <c r="G44">
        <v>36</v>
      </c>
      <c r="H44">
        <v>27</v>
      </c>
      <c r="I44">
        <v>23.6</v>
      </c>
      <c r="J44">
        <v>44.2</v>
      </c>
      <c r="K44">
        <f t="shared" si="0"/>
        <v>31.5</v>
      </c>
      <c r="L44" t="str">
        <f t="shared" si="1"/>
        <v>M2-2</v>
      </c>
    </row>
    <row r="45" spans="1:12" x14ac:dyDescent="0.35">
      <c r="A45" t="s">
        <v>10</v>
      </c>
      <c r="B45" t="s">
        <v>47</v>
      </c>
      <c r="C45" t="s">
        <v>54</v>
      </c>
      <c r="D45">
        <v>6498</v>
      </c>
      <c r="E45">
        <v>0.69299999999999995</v>
      </c>
      <c r="F45">
        <v>31</v>
      </c>
      <c r="G45">
        <v>36.1</v>
      </c>
      <c r="H45">
        <v>30.9</v>
      </c>
      <c r="I45">
        <v>26</v>
      </c>
      <c r="J45">
        <v>42</v>
      </c>
      <c r="K45">
        <f t="shared" si="0"/>
        <v>33.5</v>
      </c>
      <c r="L45" t="str">
        <f t="shared" si="1"/>
        <v>L</v>
      </c>
    </row>
    <row r="46" spans="1:12" x14ac:dyDescent="0.35">
      <c r="A46" t="s">
        <v>10</v>
      </c>
      <c r="B46" t="s">
        <v>55</v>
      </c>
      <c r="C46" t="s">
        <v>56</v>
      </c>
      <c r="D46">
        <v>420</v>
      </c>
      <c r="E46">
        <v>0.70599999999999996</v>
      </c>
      <c r="F46">
        <v>30.5</v>
      </c>
      <c r="G46">
        <v>35</v>
      </c>
      <c r="H46">
        <v>29.3</v>
      </c>
      <c r="I46">
        <v>27.1</v>
      </c>
      <c r="J46">
        <v>48.1</v>
      </c>
      <c r="K46">
        <f t="shared" si="0"/>
        <v>32.15</v>
      </c>
      <c r="L46" t="str">
        <f t="shared" si="1"/>
        <v>NS1</v>
      </c>
    </row>
    <row r="47" spans="1:12" x14ac:dyDescent="0.35">
      <c r="A47" t="s">
        <v>10</v>
      </c>
      <c r="B47" t="s">
        <v>55</v>
      </c>
      <c r="C47" t="s">
        <v>57</v>
      </c>
      <c r="D47">
        <v>375</v>
      </c>
      <c r="E47">
        <v>0.75600000000000001</v>
      </c>
      <c r="F47">
        <v>33.9</v>
      </c>
      <c r="G47">
        <v>34.4</v>
      </c>
      <c r="H47">
        <v>32</v>
      </c>
      <c r="I47">
        <v>35.200000000000003</v>
      </c>
      <c r="J47">
        <v>41.5</v>
      </c>
      <c r="K47">
        <f t="shared" si="0"/>
        <v>33.200000000000003</v>
      </c>
      <c r="L47" t="str">
        <f t="shared" si="1"/>
        <v>NS2</v>
      </c>
    </row>
    <row r="48" spans="1:12" x14ac:dyDescent="0.35">
      <c r="A48" t="s">
        <v>10</v>
      </c>
      <c r="B48" t="s">
        <v>55</v>
      </c>
      <c r="C48" t="s">
        <v>58</v>
      </c>
      <c r="D48">
        <v>1176</v>
      </c>
      <c r="E48">
        <v>0.69899999999999995</v>
      </c>
      <c r="F48">
        <v>36.700000000000003</v>
      </c>
      <c r="G48">
        <v>47.7</v>
      </c>
      <c r="H48">
        <v>33.9</v>
      </c>
      <c r="I48">
        <v>28.6</v>
      </c>
      <c r="J48">
        <v>45.8</v>
      </c>
      <c r="K48">
        <f t="shared" si="0"/>
        <v>40.799999999999997</v>
      </c>
      <c r="L48" t="str">
        <f t="shared" si="1"/>
        <v>N</v>
      </c>
    </row>
    <row r="49" spans="1:12" x14ac:dyDescent="0.35">
      <c r="A49" t="s">
        <v>10</v>
      </c>
      <c r="B49" t="s">
        <v>55</v>
      </c>
      <c r="C49" t="s">
        <v>59</v>
      </c>
      <c r="D49">
        <v>726</v>
      </c>
      <c r="E49">
        <v>0.71599999999999997</v>
      </c>
      <c r="F49">
        <v>35.5</v>
      </c>
      <c r="G49">
        <v>44.6</v>
      </c>
      <c r="H49">
        <v>34.700000000000003</v>
      </c>
      <c r="I49">
        <v>27.3</v>
      </c>
      <c r="J49">
        <v>44.6</v>
      </c>
      <c r="K49">
        <f t="shared" si="0"/>
        <v>39.650000000000006</v>
      </c>
      <c r="L49" t="str">
        <f t="shared" si="1"/>
        <v>P</v>
      </c>
    </row>
    <row r="50" spans="1:12" x14ac:dyDescent="0.35">
      <c r="A50" t="s">
        <v>10</v>
      </c>
      <c r="B50" t="s">
        <v>55</v>
      </c>
      <c r="C50" t="s">
        <v>16</v>
      </c>
      <c r="D50">
        <v>771</v>
      </c>
      <c r="E50">
        <v>0.69099999999999995</v>
      </c>
      <c r="F50">
        <v>36.200000000000003</v>
      </c>
      <c r="G50">
        <v>40.9</v>
      </c>
      <c r="H50">
        <v>36.200000000000003</v>
      </c>
      <c r="I50">
        <v>31.5</v>
      </c>
      <c r="J50">
        <v>39.4</v>
      </c>
      <c r="K50">
        <f t="shared" si="0"/>
        <v>38.549999999999997</v>
      </c>
      <c r="L50" t="str">
        <f t="shared" si="1"/>
        <v>M</v>
      </c>
    </row>
    <row r="51" spans="1:12" x14ac:dyDescent="0.35">
      <c r="A51" t="s">
        <v>10</v>
      </c>
      <c r="B51" t="s">
        <v>55</v>
      </c>
      <c r="C51" t="s">
        <v>17</v>
      </c>
      <c r="D51">
        <v>195</v>
      </c>
      <c r="E51">
        <v>0.69099999999999995</v>
      </c>
      <c r="F51">
        <v>31.3</v>
      </c>
      <c r="G51">
        <v>24.6</v>
      </c>
      <c r="H51">
        <v>30.8</v>
      </c>
      <c r="I51">
        <v>38.5</v>
      </c>
      <c r="J51">
        <v>60.4</v>
      </c>
      <c r="K51">
        <f t="shared" si="0"/>
        <v>27.700000000000003</v>
      </c>
      <c r="L51" t="str">
        <f t="shared" si="1"/>
        <v>SH</v>
      </c>
    </row>
    <row r="52" spans="1:12" x14ac:dyDescent="0.35">
      <c r="A52" t="s">
        <v>10</v>
      </c>
      <c r="B52" t="s">
        <v>55</v>
      </c>
      <c r="C52" t="s">
        <v>60</v>
      </c>
      <c r="D52">
        <v>966</v>
      </c>
      <c r="E52">
        <v>0.746</v>
      </c>
      <c r="F52">
        <v>42.9</v>
      </c>
      <c r="G52">
        <v>35.4</v>
      </c>
      <c r="H52">
        <v>47.8</v>
      </c>
      <c r="I52">
        <v>45.3</v>
      </c>
      <c r="J52">
        <v>49.9</v>
      </c>
      <c r="K52">
        <f t="shared" si="0"/>
        <v>41.599999999999994</v>
      </c>
      <c r="L52" t="str">
        <f t="shared" si="1"/>
        <v>G</v>
      </c>
    </row>
    <row r="53" spans="1:12" x14ac:dyDescent="0.35">
      <c r="A53" t="s">
        <v>10</v>
      </c>
      <c r="B53" t="s">
        <v>55</v>
      </c>
      <c r="C53" t="s">
        <v>61</v>
      </c>
      <c r="D53">
        <v>1725</v>
      </c>
      <c r="E53">
        <v>0.68899999999999995</v>
      </c>
      <c r="F53">
        <v>35.200000000000003</v>
      </c>
      <c r="G53">
        <v>37.6</v>
      </c>
      <c r="H53">
        <v>37.4</v>
      </c>
      <c r="I53">
        <v>30.6</v>
      </c>
      <c r="J53">
        <v>46</v>
      </c>
      <c r="K53">
        <f t="shared" si="0"/>
        <v>37.5</v>
      </c>
      <c r="L53" t="str">
        <f t="shared" si="1"/>
        <v>F</v>
      </c>
    </row>
    <row r="54" spans="1:12" x14ac:dyDescent="0.35">
      <c r="A54" t="s">
        <v>10</v>
      </c>
      <c r="B54" t="s">
        <v>55</v>
      </c>
      <c r="C54" t="s">
        <v>62</v>
      </c>
      <c r="D54">
        <v>585</v>
      </c>
      <c r="E54">
        <v>0.73</v>
      </c>
      <c r="F54">
        <v>36.4</v>
      </c>
      <c r="G54">
        <v>39</v>
      </c>
      <c r="H54">
        <v>34.9</v>
      </c>
      <c r="I54">
        <v>35.4</v>
      </c>
      <c r="J54">
        <v>50</v>
      </c>
      <c r="K54">
        <f t="shared" si="0"/>
        <v>36.950000000000003</v>
      </c>
      <c r="L54" t="str">
        <f t="shared" si="1"/>
        <v>M2-1</v>
      </c>
    </row>
    <row r="55" spans="1:12" x14ac:dyDescent="0.35">
      <c r="A55" t="s">
        <v>10</v>
      </c>
      <c r="B55" t="s">
        <v>55</v>
      </c>
      <c r="C55" t="s">
        <v>63</v>
      </c>
      <c r="D55">
        <v>267</v>
      </c>
      <c r="E55">
        <v>0.63200000000000001</v>
      </c>
      <c r="F55">
        <v>28.8</v>
      </c>
      <c r="G55">
        <v>37.1</v>
      </c>
      <c r="H55">
        <v>27</v>
      </c>
      <c r="I55">
        <v>22.5</v>
      </c>
      <c r="J55">
        <v>44.8</v>
      </c>
      <c r="K55">
        <f t="shared" si="0"/>
        <v>32.049999999999997</v>
      </c>
      <c r="L55" t="str">
        <f t="shared" si="1"/>
        <v>M2-2</v>
      </c>
    </row>
    <row r="56" spans="1:12" x14ac:dyDescent="0.35">
      <c r="A56" t="s">
        <v>10</v>
      </c>
      <c r="B56" t="s">
        <v>55</v>
      </c>
      <c r="C56" t="s">
        <v>64</v>
      </c>
      <c r="D56">
        <v>6498</v>
      </c>
      <c r="E56">
        <v>0.69</v>
      </c>
      <c r="F56">
        <v>30.7</v>
      </c>
      <c r="G56">
        <v>35.9</v>
      </c>
      <c r="H56">
        <v>30.9</v>
      </c>
      <c r="I56">
        <v>25.3</v>
      </c>
      <c r="J56">
        <v>41.2</v>
      </c>
      <c r="K56">
        <f t="shared" si="0"/>
        <v>33.4</v>
      </c>
      <c r="L56" t="str">
        <f t="shared" si="1"/>
        <v>L</v>
      </c>
    </row>
    <row r="57" spans="1:12" x14ac:dyDescent="0.35">
      <c r="A57" t="s">
        <v>10</v>
      </c>
      <c r="B57" t="s">
        <v>65</v>
      </c>
      <c r="C57" t="s">
        <v>36</v>
      </c>
      <c r="D57">
        <v>420</v>
      </c>
      <c r="E57">
        <v>0.70699999999999996</v>
      </c>
      <c r="F57">
        <v>30.7</v>
      </c>
      <c r="G57">
        <v>35</v>
      </c>
      <c r="H57">
        <v>29.3</v>
      </c>
      <c r="I57">
        <v>27.9</v>
      </c>
      <c r="J57">
        <v>48</v>
      </c>
      <c r="K57">
        <f t="shared" si="0"/>
        <v>32.15</v>
      </c>
      <c r="L57" t="str">
        <f t="shared" si="1"/>
        <v>NS1</v>
      </c>
    </row>
    <row r="58" spans="1:12" x14ac:dyDescent="0.35">
      <c r="A58" t="s">
        <v>10</v>
      </c>
      <c r="B58" t="s">
        <v>65</v>
      </c>
      <c r="C58" t="s">
        <v>66</v>
      </c>
      <c r="D58">
        <v>375</v>
      </c>
      <c r="E58">
        <v>0.76400000000000001</v>
      </c>
      <c r="F58">
        <v>33.9</v>
      </c>
      <c r="G58">
        <v>34.4</v>
      </c>
      <c r="H58">
        <v>32</v>
      </c>
      <c r="I58">
        <v>35.200000000000003</v>
      </c>
      <c r="J58">
        <v>41.8</v>
      </c>
      <c r="K58">
        <f t="shared" si="0"/>
        <v>33.200000000000003</v>
      </c>
      <c r="L58" t="str">
        <f t="shared" si="1"/>
        <v>NS2</v>
      </c>
    </row>
    <row r="59" spans="1:12" x14ac:dyDescent="0.35">
      <c r="A59" t="s">
        <v>10</v>
      </c>
      <c r="B59" t="s">
        <v>65</v>
      </c>
      <c r="C59" t="s">
        <v>67</v>
      </c>
      <c r="D59">
        <v>1176</v>
      </c>
      <c r="E59">
        <v>0.7</v>
      </c>
      <c r="F59">
        <v>36.799999999999997</v>
      </c>
      <c r="G59">
        <v>48</v>
      </c>
      <c r="H59">
        <v>33.9</v>
      </c>
      <c r="I59">
        <v>28.6</v>
      </c>
      <c r="J59">
        <v>45.5</v>
      </c>
      <c r="K59">
        <f t="shared" si="0"/>
        <v>40.950000000000003</v>
      </c>
      <c r="L59" t="str">
        <f t="shared" si="1"/>
        <v>N</v>
      </c>
    </row>
    <row r="60" spans="1:12" x14ac:dyDescent="0.35">
      <c r="A60" t="s">
        <v>10</v>
      </c>
      <c r="B60" t="s">
        <v>65</v>
      </c>
      <c r="C60" t="s">
        <v>68</v>
      </c>
      <c r="D60">
        <v>726</v>
      </c>
      <c r="E60">
        <v>0.71299999999999997</v>
      </c>
      <c r="F60">
        <v>35.4</v>
      </c>
      <c r="G60">
        <v>44.6</v>
      </c>
      <c r="H60">
        <v>35.1</v>
      </c>
      <c r="I60">
        <v>26.4</v>
      </c>
      <c r="J60">
        <v>45.1</v>
      </c>
      <c r="K60">
        <f t="shared" si="0"/>
        <v>39.85</v>
      </c>
      <c r="L60" t="str">
        <f t="shared" si="1"/>
        <v>P</v>
      </c>
    </row>
    <row r="61" spans="1:12" x14ac:dyDescent="0.35">
      <c r="A61" t="s">
        <v>10</v>
      </c>
      <c r="B61" t="s">
        <v>65</v>
      </c>
      <c r="C61" t="s">
        <v>69</v>
      </c>
      <c r="D61">
        <v>771</v>
      </c>
      <c r="E61">
        <v>0.69499999999999995</v>
      </c>
      <c r="F61">
        <v>36.6</v>
      </c>
      <c r="G61">
        <v>40.9</v>
      </c>
      <c r="H61">
        <v>36.6</v>
      </c>
      <c r="I61">
        <v>32.299999999999997</v>
      </c>
      <c r="J61">
        <v>39.799999999999997</v>
      </c>
      <c r="K61">
        <f t="shared" si="0"/>
        <v>38.75</v>
      </c>
      <c r="L61" t="str">
        <f t="shared" si="1"/>
        <v>M</v>
      </c>
    </row>
    <row r="62" spans="1:12" x14ac:dyDescent="0.35">
      <c r="A62" t="s">
        <v>10</v>
      </c>
      <c r="B62" t="s">
        <v>65</v>
      </c>
      <c r="C62" t="s">
        <v>70</v>
      </c>
      <c r="D62">
        <v>195</v>
      </c>
      <c r="E62">
        <v>0.68300000000000005</v>
      </c>
      <c r="F62">
        <v>32.299999999999997</v>
      </c>
      <c r="G62">
        <v>26.2</v>
      </c>
      <c r="H62">
        <v>30.8</v>
      </c>
      <c r="I62">
        <v>40</v>
      </c>
      <c r="J62">
        <v>49.9</v>
      </c>
      <c r="K62">
        <f t="shared" si="0"/>
        <v>28.5</v>
      </c>
      <c r="L62" t="str">
        <f t="shared" si="1"/>
        <v>SH</v>
      </c>
    </row>
    <row r="63" spans="1:12" x14ac:dyDescent="0.35">
      <c r="A63" t="s">
        <v>10</v>
      </c>
      <c r="B63" t="s">
        <v>65</v>
      </c>
      <c r="C63" t="s">
        <v>71</v>
      </c>
      <c r="D63">
        <v>894</v>
      </c>
      <c r="E63">
        <v>0.754</v>
      </c>
      <c r="F63">
        <v>42.4</v>
      </c>
      <c r="G63">
        <v>33.9</v>
      </c>
      <c r="H63">
        <v>48.7</v>
      </c>
      <c r="I63">
        <v>44.6</v>
      </c>
      <c r="J63">
        <v>48.9</v>
      </c>
      <c r="K63">
        <f t="shared" si="0"/>
        <v>41.3</v>
      </c>
      <c r="L63" t="str">
        <f t="shared" si="1"/>
        <v>G</v>
      </c>
    </row>
    <row r="64" spans="1:12" x14ac:dyDescent="0.35">
      <c r="A64" t="s">
        <v>10</v>
      </c>
      <c r="B64" t="s">
        <v>65</v>
      </c>
      <c r="C64" t="s">
        <v>72</v>
      </c>
      <c r="D64">
        <v>1725</v>
      </c>
      <c r="E64">
        <v>0.69299999999999995</v>
      </c>
      <c r="F64">
        <v>35.299999999999997</v>
      </c>
      <c r="G64">
        <v>37.200000000000003</v>
      </c>
      <c r="H64">
        <v>37.6</v>
      </c>
      <c r="I64">
        <v>31.1</v>
      </c>
      <c r="J64">
        <v>46.2</v>
      </c>
      <c r="K64">
        <f t="shared" si="0"/>
        <v>37.400000000000006</v>
      </c>
      <c r="L64" t="str">
        <f t="shared" si="1"/>
        <v>F</v>
      </c>
    </row>
    <row r="65" spans="1:12" x14ac:dyDescent="0.35">
      <c r="A65" t="s">
        <v>10</v>
      </c>
      <c r="B65" t="s">
        <v>65</v>
      </c>
      <c r="C65" t="s">
        <v>73</v>
      </c>
      <c r="D65">
        <v>585</v>
      </c>
      <c r="E65">
        <v>0.73099999999999998</v>
      </c>
      <c r="F65">
        <v>36.6</v>
      </c>
      <c r="G65">
        <v>39</v>
      </c>
      <c r="H65">
        <v>34.9</v>
      </c>
      <c r="I65">
        <v>35.9</v>
      </c>
      <c r="J65">
        <v>49.2</v>
      </c>
      <c r="K65">
        <f t="shared" si="0"/>
        <v>36.950000000000003</v>
      </c>
      <c r="L65" t="str">
        <f t="shared" si="1"/>
        <v>M2-1</v>
      </c>
    </row>
    <row r="66" spans="1:12" x14ac:dyDescent="0.35">
      <c r="A66" t="s">
        <v>10</v>
      </c>
      <c r="B66" t="s">
        <v>65</v>
      </c>
      <c r="C66" t="s">
        <v>74</v>
      </c>
      <c r="D66">
        <v>267</v>
      </c>
      <c r="E66">
        <v>0.63800000000000001</v>
      </c>
      <c r="F66">
        <v>29.2</v>
      </c>
      <c r="G66">
        <v>36</v>
      </c>
      <c r="H66">
        <v>27</v>
      </c>
      <c r="I66">
        <v>24.7</v>
      </c>
      <c r="J66">
        <v>44.2</v>
      </c>
      <c r="K66">
        <f t="shared" si="0"/>
        <v>31.5</v>
      </c>
      <c r="L66" t="str">
        <f t="shared" si="1"/>
        <v>M2-2</v>
      </c>
    </row>
    <row r="67" spans="1:12" x14ac:dyDescent="0.35">
      <c r="A67" t="s">
        <v>10</v>
      </c>
      <c r="B67" t="s">
        <v>65</v>
      </c>
      <c r="C67" t="s">
        <v>75</v>
      </c>
      <c r="D67">
        <v>6498</v>
      </c>
      <c r="E67">
        <v>0.69199999999999995</v>
      </c>
      <c r="F67">
        <v>30.7</v>
      </c>
      <c r="G67">
        <v>35.9</v>
      </c>
      <c r="H67">
        <v>30.9</v>
      </c>
      <c r="I67">
        <v>25.3</v>
      </c>
      <c r="J67">
        <v>41.2</v>
      </c>
      <c r="K67">
        <f t="shared" ref="K67:K130" si="2">(G67+H67)/2</f>
        <v>33.4</v>
      </c>
      <c r="L67" t="str">
        <f t="shared" ref="L67:L130" si="3">IF(ISNUMBER(SEARCH("M2-1",C67)),"M2-1",IF(ISNUMBER(SEARCH("M2-2",C67)),"M2-2",IF(LEFT(C67,3)="NS1","NS1",IF(LEFT(C67,3)="NS2","NS2",IF(LEFT(C67,2)="N_","N",IF(LEFT(C67,2)="P_","P",IF(LEFT(C67,2)="M_","M",IF(LEFT(C67,2)="SH","SH",IF(LEFT(C67,2)="G_","G",IF(LEFT(C67,2)="F_","F",IF(LEFT(C67,2)="L_","L","UNKNOWN")))))))))))</f>
        <v>L</v>
      </c>
    </row>
    <row r="68" spans="1:12" x14ac:dyDescent="0.35">
      <c r="A68" t="s">
        <v>10</v>
      </c>
      <c r="B68" t="s">
        <v>76</v>
      </c>
      <c r="C68" t="s">
        <v>77</v>
      </c>
      <c r="D68">
        <v>420</v>
      </c>
      <c r="E68">
        <v>0.70599999999999996</v>
      </c>
      <c r="F68">
        <v>30.5</v>
      </c>
      <c r="G68">
        <v>35</v>
      </c>
      <c r="H68">
        <v>29.3</v>
      </c>
      <c r="I68">
        <v>27.1</v>
      </c>
      <c r="J68">
        <v>48.1</v>
      </c>
      <c r="K68">
        <f t="shared" si="2"/>
        <v>32.15</v>
      </c>
      <c r="L68" t="str">
        <f t="shared" si="3"/>
        <v>NS1</v>
      </c>
    </row>
    <row r="69" spans="1:12" x14ac:dyDescent="0.35">
      <c r="A69" t="s">
        <v>10</v>
      </c>
      <c r="B69" t="s">
        <v>76</v>
      </c>
      <c r="C69" t="s">
        <v>78</v>
      </c>
      <c r="D69">
        <v>375</v>
      </c>
      <c r="E69">
        <v>0.75800000000000001</v>
      </c>
      <c r="F69">
        <v>34.1</v>
      </c>
      <c r="G69">
        <v>34.4</v>
      </c>
      <c r="H69">
        <v>32</v>
      </c>
      <c r="I69">
        <v>36</v>
      </c>
      <c r="J69">
        <v>41.8</v>
      </c>
      <c r="K69">
        <f t="shared" si="2"/>
        <v>33.200000000000003</v>
      </c>
      <c r="L69" t="str">
        <f t="shared" si="3"/>
        <v>NS2</v>
      </c>
    </row>
    <row r="70" spans="1:12" x14ac:dyDescent="0.35">
      <c r="A70" t="s">
        <v>10</v>
      </c>
      <c r="B70" t="s">
        <v>76</v>
      </c>
      <c r="C70" t="s">
        <v>79</v>
      </c>
      <c r="D70">
        <v>1176</v>
      </c>
      <c r="E70">
        <v>0.69899999999999995</v>
      </c>
      <c r="F70">
        <v>36.700000000000003</v>
      </c>
      <c r="G70">
        <v>47.7</v>
      </c>
      <c r="H70">
        <v>33.9</v>
      </c>
      <c r="I70">
        <v>28.6</v>
      </c>
      <c r="J70">
        <v>45.5</v>
      </c>
      <c r="K70">
        <f t="shared" si="2"/>
        <v>40.799999999999997</v>
      </c>
      <c r="L70" t="str">
        <f t="shared" si="3"/>
        <v>N</v>
      </c>
    </row>
    <row r="71" spans="1:12" x14ac:dyDescent="0.35">
      <c r="A71" t="s">
        <v>10</v>
      </c>
      <c r="B71" t="s">
        <v>76</v>
      </c>
      <c r="C71" t="s">
        <v>15</v>
      </c>
      <c r="D71">
        <v>726</v>
      </c>
      <c r="E71">
        <v>0.71499999999999997</v>
      </c>
      <c r="F71">
        <v>35.799999999999997</v>
      </c>
      <c r="G71">
        <v>44.6</v>
      </c>
      <c r="H71">
        <v>35.1</v>
      </c>
      <c r="I71">
        <v>27.7</v>
      </c>
      <c r="J71">
        <v>45.1</v>
      </c>
      <c r="K71">
        <f t="shared" si="2"/>
        <v>39.85</v>
      </c>
      <c r="L71" t="str">
        <f t="shared" si="3"/>
        <v>P</v>
      </c>
    </row>
    <row r="72" spans="1:12" x14ac:dyDescent="0.35">
      <c r="A72" t="s">
        <v>10</v>
      </c>
      <c r="B72" t="s">
        <v>76</v>
      </c>
      <c r="C72" t="s">
        <v>16</v>
      </c>
      <c r="D72">
        <v>771</v>
      </c>
      <c r="E72">
        <v>0.69599999999999995</v>
      </c>
      <c r="F72">
        <v>36.6</v>
      </c>
      <c r="G72">
        <v>41.2</v>
      </c>
      <c r="H72">
        <v>36.200000000000003</v>
      </c>
      <c r="I72">
        <v>32.299999999999997</v>
      </c>
      <c r="J72">
        <v>39.799999999999997</v>
      </c>
      <c r="K72">
        <f t="shared" si="2"/>
        <v>38.700000000000003</v>
      </c>
      <c r="L72" t="str">
        <f t="shared" si="3"/>
        <v>M</v>
      </c>
    </row>
    <row r="73" spans="1:12" x14ac:dyDescent="0.35">
      <c r="A73" t="s">
        <v>10</v>
      </c>
      <c r="B73" t="s">
        <v>76</v>
      </c>
      <c r="C73" t="s">
        <v>17</v>
      </c>
      <c r="D73">
        <v>195</v>
      </c>
      <c r="E73">
        <v>0.68</v>
      </c>
      <c r="F73">
        <v>31.8</v>
      </c>
      <c r="G73">
        <v>26.2</v>
      </c>
      <c r="H73">
        <v>30.8</v>
      </c>
      <c r="I73">
        <v>38.5</v>
      </c>
      <c r="J73">
        <v>45.4</v>
      </c>
      <c r="K73">
        <f t="shared" si="2"/>
        <v>28.5</v>
      </c>
      <c r="L73" t="str">
        <f t="shared" si="3"/>
        <v>SH</v>
      </c>
    </row>
    <row r="74" spans="1:12" x14ac:dyDescent="0.35">
      <c r="A74" t="s">
        <v>10</v>
      </c>
      <c r="B74" t="s">
        <v>76</v>
      </c>
      <c r="C74" t="s">
        <v>80</v>
      </c>
      <c r="D74">
        <v>966</v>
      </c>
      <c r="E74">
        <v>0.754</v>
      </c>
      <c r="F74">
        <v>43.1</v>
      </c>
      <c r="G74">
        <v>35.1</v>
      </c>
      <c r="H74">
        <v>49.1</v>
      </c>
      <c r="I74">
        <v>45</v>
      </c>
      <c r="J74">
        <v>49.3</v>
      </c>
      <c r="K74">
        <f t="shared" si="2"/>
        <v>42.1</v>
      </c>
      <c r="L74" t="str">
        <f t="shared" si="3"/>
        <v>G</v>
      </c>
    </row>
    <row r="75" spans="1:12" x14ac:dyDescent="0.35">
      <c r="A75" t="s">
        <v>10</v>
      </c>
      <c r="B75" t="s">
        <v>76</v>
      </c>
      <c r="C75" t="s">
        <v>81</v>
      </c>
      <c r="D75">
        <v>1725</v>
      </c>
      <c r="E75">
        <v>0.69199999999999995</v>
      </c>
      <c r="F75">
        <v>35.4</v>
      </c>
      <c r="G75">
        <v>37.6</v>
      </c>
      <c r="H75">
        <v>37.6</v>
      </c>
      <c r="I75">
        <v>31.1</v>
      </c>
      <c r="J75">
        <v>46.2</v>
      </c>
      <c r="K75">
        <f t="shared" si="2"/>
        <v>37.6</v>
      </c>
      <c r="L75" t="str">
        <f t="shared" si="3"/>
        <v>F</v>
      </c>
    </row>
    <row r="76" spans="1:12" x14ac:dyDescent="0.35">
      <c r="A76" t="s">
        <v>10</v>
      </c>
      <c r="B76" t="s">
        <v>76</v>
      </c>
      <c r="C76" t="s">
        <v>82</v>
      </c>
      <c r="D76">
        <v>585</v>
      </c>
      <c r="E76">
        <v>0.73099999999999998</v>
      </c>
      <c r="F76">
        <v>36.4</v>
      </c>
      <c r="G76">
        <v>39</v>
      </c>
      <c r="H76">
        <v>34.9</v>
      </c>
      <c r="I76">
        <v>35.4</v>
      </c>
      <c r="J76">
        <v>48</v>
      </c>
      <c r="K76">
        <f t="shared" si="2"/>
        <v>36.950000000000003</v>
      </c>
      <c r="L76" t="str">
        <f t="shared" si="3"/>
        <v>M2-1</v>
      </c>
    </row>
    <row r="77" spans="1:12" x14ac:dyDescent="0.35">
      <c r="A77" t="s">
        <v>10</v>
      </c>
      <c r="B77" t="s">
        <v>76</v>
      </c>
      <c r="C77" t="s">
        <v>83</v>
      </c>
      <c r="D77">
        <v>267</v>
      </c>
      <c r="E77">
        <v>0.63800000000000001</v>
      </c>
      <c r="F77">
        <v>28.8</v>
      </c>
      <c r="G77">
        <v>36</v>
      </c>
      <c r="H77">
        <v>27</v>
      </c>
      <c r="I77">
        <v>23.6</v>
      </c>
      <c r="J77">
        <v>44.2</v>
      </c>
      <c r="K77">
        <f t="shared" si="2"/>
        <v>31.5</v>
      </c>
      <c r="L77" t="str">
        <f t="shared" si="3"/>
        <v>M2-2</v>
      </c>
    </row>
    <row r="78" spans="1:12" x14ac:dyDescent="0.35">
      <c r="A78" t="s">
        <v>10</v>
      </c>
      <c r="B78" t="s">
        <v>76</v>
      </c>
      <c r="C78" t="s">
        <v>84</v>
      </c>
      <c r="D78">
        <v>6498</v>
      </c>
      <c r="E78">
        <v>0.69199999999999995</v>
      </c>
      <c r="F78">
        <v>30.7</v>
      </c>
      <c r="G78">
        <v>35.9</v>
      </c>
      <c r="H78">
        <v>30.9</v>
      </c>
      <c r="I78">
        <v>25.4</v>
      </c>
      <c r="J78">
        <v>41.3</v>
      </c>
      <c r="K78">
        <f t="shared" si="2"/>
        <v>33.4</v>
      </c>
      <c r="L78" t="str">
        <f t="shared" si="3"/>
        <v>L</v>
      </c>
    </row>
    <row r="79" spans="1:12" x14ac:dyDescent="0.35">
      <c r="A79" t="s">
        <v>10</v>
      </c>
      <c r="B79" t="s">
        <v>85</v>
      </c>
      <c r="C79" t="s">
        <v>12</v>
      </c>
      <c r="D79">
        <v>420</v>
      </c>
      <c r="E79">
        <v>0.7</v>
      </c>
      <c r="F79">
        <v>30.2</v>
      </c>
      <c r="G79">
        <v>35</v>
      </c>
      <c r="H79">
        <v>29.3</v>
      </c>
      <c r="I79">
        <v>26.4</v>
      </c>
      <c r="J79">
        <v>47.4</v>
      </c>
      <c r="K79">
        <f t="shared" si="2"/>
        <v>32.15</v>
      </c>
      <c r="L79" t="str">
        <f t="shared" si="3"/>
        <v>NS1</v>
      </c>
    </row>
    <row r="80" spans="1:12" x14ac:dyDescent="0.35">
      <c r="A80" t="s">
        <v>10</v>
      </c>
      <c r="B80" t="s">
        <v>85</v>
      </c>
      <c r="C80" t="s">
        <v>13</v>
      </c>
      <c r="D80">
        <v>375</v>
      </c>
      <c r="E80">
        <v>0.76500000000000001</v>
      </c>
      <c r="F80">
        <v>34.1</v>
      </c>
      <c r="G80">
        <v>34.4</v>
      </c>
      <c r="H80">
        <v>32</v>
      </c>
      <c r="I80">
        <v>36</v>
      </c>
      <c r="J80">
        <v>42.2</v>
      </c>
      <c r="K80">
        <f t="shared" si="2"/>
        <v>33.200000000000003</v>
      </c>
      <c r="L80" t="str">
        <f t="shared" si="3"/>
        <v>NS2</v>
      </c>
    </row>
    <row r="81" spans="1:12" x14ac:dyDescent="0.35">
      <c r="A81" t="s">
        <v>10</v>
      </c>
      <c r="B81" t="s">
        <v>85</v>
      </c>
      <c r="C81" t="s">
        <v>14</v>
      </c>
      <c r="D81">
        <v>1176</v>
      </c>
      <c r="E81">
        <v>0.7</v>
      </c>
      <c r="F81">
        <v>36.700000000000003</v>
      </c>
      <c r="G81">
        <v>47.7</v>
      </c>
      <c r="H81">
        <v>33.9</v>
      </c>
      <c r="I81">
        <v>28.6</v>
      </c>
      <c r="J81">
        <v>45</v>
      </c>
      <c r="K81">
        <f t="shared" si="2"/>
        <v>40.799999999999997</v>
      </c>
      <c r="L81" t="str">
        <f t="shared" si="3"/>
        <v>N</v>
      </c>
    </row>
    <row r="82" spans="1:12" x14ac:dyDescent="0.35">
      <c r="A82" t="s">
        <v>10</v>
      </c>
      <c r="B82" t="s">
        <v>85</v>
      </c>
      <c r="C82" t="s">
        <v>86</v>
      </c>
      <c r="D82">
        <v>726</v>
      </c>
      <c r="E82">
        <v>0.71499999999999997</v>
      </c>
      <c r="F82">
        <v>35.799999999999997</v>
      </c>
      <c r="G82">
        <v>44.6</v>
      </c>
      <c r="H82">
        <v>35.1</v>
      </c>
      <c r="I82">
        <v>27.7</v>
      </c>
      <c r="J82">
        <v>45.3</v>
      </c>
      <c r="K82">
        <f t="shared" si="2"/>
        <v>39.85</v>
      </c>
      <c r="L82" t="str">
        <f t="shared" si="3"/>
        <v>P</v>
      </c>
    </row>
    <row r="83" spans="1:12" x14ac:dyDescent="0.35">
      <c r="A83" t="s">
        <v>10</v>
      </c>
      <c r="B83" t="s">
        <v>85</v>
      </c>
      <c r="C83" t="s">
        <v>87</v>
      </c>
      <c r="D83">
        <v>771</v>
      </c>
      <c r="E83">
        <v>0.69499999999999995</v>
      </c>
      <c r="F83">
        <v>36.6</v>
      </c>
      <c r="G83">
        <v>41.2</v>
      </c>
      <c r="H83">
        <v>36.200000000000003</v>
      </c>
      <c r="I83">
        <v>32.299999999999997</v>
      </c>
      <c r="J83">
        <v>39.6</v>
      </c>
      <c r="K83">
        <f t="shared" si="2"/>
        <v>38.700000000000003</v>
      </c>
      <c r="L83" t="str">
        <f t="shared" si="3"/>
        <v>M</v>
      </c>
    </row>
    <row r="84" spans="1:12" x14ac:dyDescent="0.35">
      <c r="A84" t="s">
        <v>10</v>
      </c>
      <c r="B84" t="s">
        <v>85</v>
      </c>
      <c r="C84" t="s">
        <v>88</v>
      </c>
      <c r="D84">
        <v>195</v>
      </c>
      <c r="E84">
        <v>0.68600000000000005</v>
      </c>
      <c r="F84">
        <v>32.299999999999997</v>
      </c>
      <c r="G84">
        <v>26.2</v>
      </c>
      <c r="H84">
        <v>30.8</v>
      </c>
      <c r="I84">
        <v>40</v>
      </c>
      <c r="J84">
        <v>48.5</v>
      </c>
      <c r="K84">
        <f t="shared" si="2"/>
        <v>28.5</v>
      </c>
      <c r="L84" t="str">
        <f t="shared" si="3"/>
        <v>SH</v>
      </c>
    </row>
    <row r="85" spans="1:12" x14ac:dyDescent="0.35">
      <c r="A85" t="s">
        <v>10</v>
      </c>
      <c r="B85" t="s">
        <v>85</v>
      </c>
      <c r="C85" t="s">
        <v>18</v>
      </c>
      <c r="D85">
        <v>966</v>
      </c>
      <c r="E85">
        <v>0.748</v>
      </c>
      <c r="F85">
        <v>43.4</v>
      </c>
      <c r="G85">
        <v>35.4</v>
      </c>
      <c r="H85">
        <v>49.1</v>
      </c>
      <c r="I85">
        <v>45.7</v>
      </c>
      <c r="J85">
        <v>49.7</v>
      </c>
      <c r="K85">
        <f t="shared" si="2"/>
        <v>42.25</v>
      </c>
      <c r="L85" t="str">
        <f t="shared" si="3"/>
        <v>G</v>
      </c>
    </row>
    <row r="86" spans="1:12" x14ac:dyDescent="0.35">
      <c r="A86" t="s">
        <v>10</v>
      </c>
      <c r="B86" t="s">
        <v>85</v>
      </c>
      <c r="C86" t="s">
        <v>19</v>
      </c>
      <c r="D86">
        <v>1725</v>
      </c>
      <c r="E86">
        <v>0.68500000000000005</v>
      </c>
      <c r="F86">
        <v>35.5</v>
      </c>
      <c r="G86">
        <v>37.9</v>
      </c>
      <c r="H86">
        <v>37.6</v>
      </c>
      <c r="I86">
        <v>31</v>
      </c>
      <c r="J86">
        <v>46.6</v>
      </c>
      <c r="K86">
        <f t="shared" si="2"/>
        <v>37.75</v>
      </c>
      <c r="L86" t="str">
        <f t="shared" si="3"/>
        <v>F</v>
      </c>
    </row>
    <row r="87" spans="1:12" x14ac:dyDescent="0.35">
      <c r="A87" t="s">
        <v>10</v>
      </c>
      <c r="B87" t="s">
        <v>85</v>
      </c>
      <c r="C87" t="s">
        <v>20</v>
      </c>
      <c r="D87">
        <v>585</v>
      </c>
      <c r="E87">
        <v>0.72899999999999998</v>
      </c>
      <c r="F87">
        <v>35.700000000000003</v>
      </c>
      <c r="G87">
        <v>39</v>
      </c>
      <c r="H87">
        <v>34.4</v>
      </c>
      <c r="I87">
        <v>33.799999999999997</v>
      </c>
      <c r="J87">
        <v>48.5</v>
      </c>
      <c r="K87">
        <f t="shared" si="2"/>
        <v>36.700000000000003</v>
      </c>
      <c r="L87" t="str">
        <f t="shared" si="3"/>
        <v>M2-1</v>
      </c>
    </row>
    <row r="88" spans="1:12" x14ac:dyDescent="0.35">
      <c r="A88" t="s">
        <v>10</v>
      </c>
      <c r="B88" t="s">
        <v>85</v>
      </c>
      <c r="C88" t="s">
        <v>21</v>
      </c>
      <c r="D88">
        <v>267</v>
      </c>
      <c r="E88">
        <v>0.63800000000000001</v>
      </c>
      <c r="F88">
        <v>28.8</v>
      </c>
      <c r="G88">
        <v>36</v>
      </c>
      <c r="H88">
        <v>27</v>
      </c>
      <c r="I88">
        <v>23.6</v>
      </c>
      <c r="J88">
        <v>44.2</v>
      </c>
      <c r="K88">
        <f t="shared" si="2"/>
        <v>31.5</v>
      </c>
      <c r="L88" t="str">
        <f t="shared" si="3"/>
        <v>M2-2</v>
      </c>
    </row>
    <row r="89" spans="1:12" x14ac:dyDescent="0.35">
      <c r="A89" t="s">
        <v>10</v>
      </c>
      <c r="B89" t="s">
        <v>85</v>
      </c>
      <c r="C89" t="s">
        <v>22</v>
      </c>
      <c r="D89">
        <v>6498</v>
      </c>
      <c r="E89">
        <v>0.69299999999999995</v>
      </c>
      <c r="F89">
        <v>30.9</v>
      </c>
      <c r="G89">
        <v>36</v>
      </c>
      <c r="H89">
        <v>31</v>
      </c>
      <c r="I89">
        <v>25.8</v>
      </c>
      <c r="J89">
        <v>41.4</v>
      </c>
      <c r="K89">
        <f t="shared" si="2"/>
        <v>33.5</v>
      </c>
      <c r="L89" t="str">
        <f t="shared" si="3"/>
        <v>L</v>
      </c>
    </row>
    <row r="90" spans="1:12" x14ac:dyDescent="0.35">
      <c r="A90" t="s">
        <v>10</v>
      </c>
      <c r="B90" t="s">
        <v>89</v>
      </c>
      <c r="C90" t="s">
        <v>90</v>
      </c>
      <c r="D90">
        <v>420</v>
      </c>
      <c r="E90">
        <v>0.71</v>
      </c>
      <c r="F90">
        <v>30.7</v>
      </c>
      <c r="G90">
        <v>35</v>
      </c>
      <c r="H90">
        <v>29.3</v>
      </c>
      <c r="I90">
        <v>27.9</v>
      </c>
      <c r="J90">
        <v>48.9</v>
      </c>
      <c r="K90">
        <f t="shared" si="2"/>
        <v>32.15</v>
      </c>
      <c r="L90" t="str">
        <f t="shared" si="3"/>
        <v>NS1</v>
      </c>
    </row>
    <row r="91" spans="1:12" x14ac:dyDescent="0.35">
      <c r="A91" t="s">
        <v>10</v>
      </c>
      <c r="B91" t="s">
        <v>89</v>
      </c>
      <c r="C91" t="s">
        <v>91</v>
      </c>
      <c r="D91">
        <v>375</v>
      </c>
      <c r="E91">
        <v>0.76100000000000001</v>
      </c>
      <c r="F91">
        <v>34.700000000000003</v>
      </c>
      <c r="G91">
        <v>34.4</v>
      </c>
      <c r="H91">
        <v>32</v>
      </c>
      <c r="I91">
        <v>37.6</v>
      </c>
      <c r="J91">
        <v>42</v>
      </c>
      <c r="K91">
        <f t="shared" si="2"/>
        <v>33.200000000000003</v>
      </c>
      <c r="L91" t="str">
        <f t="shared" si="3"/>
        <v>NS2</v>
      </c>
    </row>
    <row r="92" spans="1:12" x14ac:dyDescent="0.35">
      <c r="A92" t="s">
        <v>10</v>
      </c>
      <c r="B92" t="s">
        <v>89</v>
      </c>
      <c r="C92" t="s">
        <v>92</v>
      </c>
      <c r="D92">
        <v>1176</v>
      </c>
      <c r="E92">
        <v>0.7</v>
      </c>
      <c r="F92">
        <v>37</v>
      </c>
      <c r="G92">
        <v>48</v>
      </c>
      <c r="H92">
        <v>33.9</v>
      </c>
      <c r="I92">
        <v>29.1</v>
      </c>
      <c r="J92">
        <v>47.7</v>
      </c>
      <c r="K92">
        <f t="shared" si="2"/>
        <v>40.950000000000003</v>
      </c>
      <c r="L92" t="str">
        <f t="shared" si="3"/>
        <v>N</v>
      </c>
    </row>
    <row r="93" spans="1:12" x14ac:dyDescent="0.35">
      <c r="A93" t="s">
        <v>10</v>
      </c>
      <c r="B93" t="s">
        <v>89</v>
      </c>
      <c r="C93" t="s">
        <v>93</v>
      </c>
      <c r="D93">
        <v>726</v>
      </c>
      <c r="E93">
        <v>0.71699999999999997</v>
      </c>
      <c r="F93">
        <v>35.5</v>
      </c>
      <c r="G93">
        <v>44.6</v>
      </c>
      <c r="H93">
        <v>34.700000000000003</v>
      </c>
      <c r="I93">
        <v>27.3</v>
      </c>
      <c r="J93">
        <v>45.2</v>
      </c>
      <c r="K93">
        <f t="shared" si="2"/>
        <v>39.650000000000006</v>
      </c>
      <c r="L93" t="str">
        <f t="shared" si="3"/>
        <v>P</v>
      </c>
    </row>
    <row r="94" spans="1:12" x14ac:dyDescent="0.35">
      <c r="A94" t="s">
        <v>10</v>
      </c>
      <c r="B94" t="s">
        <v>89</v>
      </c>
      <c r="C94" t="s">
        <v>94</v>
      </c>
      <c r="D94">
        <v>771</v>
      </c>
      <c r="E94">
        <v>0.70099999999999996</v>
      </c>
      <c r="F94">
        <v>36.799999999999997</v>
      </c>
      <c r="G94">
        <v>41.6</v>
      </c>
      <c r="H94">
        <v>36.200000000000003</v>
      </c>
      <c r="I94">
        <v>32.700000000000003</v>
      </c>
      <c r="J94">
        <v>40.5</v>
      </c>
      <c r="K94">
        <f t="shared" si="2"/>
        <v>38.900000000000006</v>
      </c>
      <c r="L94" t="str">
        <f t="shared" si="3"/>
        <v>M</v>
      </c>
    </row>
    <row r="95" spans="1:12" x14ac:dyDescent="0.35">
      <c r="A95" t="s">
        <v>10</v>
      </c>
      <c r="B95" t="s">
        <v>89</v>
      </c>
      <c r="C95" t="s">
        <v>95</v>
      </c>
      <c r="D95">
        <v>195</v>
      </c>
      <c r="E95">
        <v>0.67800000000000005</v>
      </c>
      <c r="F95">
        <v>31.3</v>
      </c>
      <c r="G95">
        <v>26.2</v>
      </c>
      <c r="H95">
        <v>30.8</v>
      </c>
      <c r="I95">
        <v>36.9</v>
      </c>
      <c r="J95">
        <v>45.4</v>
      </c>
      <c r="K95">
        <f t="shared" si="2"/>
        <v>28.5</v>
      </c>
      <c r="L95" t="str">
        <f t="shared" si="3"/>
        <v>SH</v>
      </c>
    </row>
    <row r="96" spans="1:12" x14ac:dyDescent="0.35">
      <c r="A96" t="s">
        <v>10</v>
      </c>
      <c r="B96" t="s">
        <v>89</v>
      </c>
      <c r="C96" t="s">
        <v>96</v>
      </c>
      <c r="D96">
        <v>966</v>
      </c>
      <c r="E96">
        <v>0.755</v>
      </c>
      <c r="F96">
        <v>43.3</v>
      </c>
      <c r="G96">
        <v>35.4</v>
      </c>
      <c r="H96">
        <v>49.1</v>
      </c>
      <c r="I96">
        <v>45.3</v>
      </c>
      <c r="J96">
        <v>51.9</v>
      </c>
      <c r="K96">
        <f t="shared" si="2"/>
        <v>42.25</v>
      </c>
      <c r="L96" t="str">
        <f t="shared" si="3"/>
        <v>G</v>
      </c>
    </row>
    <row r="97" spans="1:12" x14ac:dyDescent="0.35">
      <c r="A97" t="s">
        <v>10</v>
      </c>
      <c r="B97" t="s">
        <v>89</v>
      </c>
      <c r="C97" t="s">
        <v>97</v>
      </c>
      <c r="D97">
        <v>1725</v>
      </c>
      <c r="E97">
        <v>0.69</v>
      </c>
      <c r="F97">
        <v>35.299999999999997</v>
      </c>
      <c r="G97">
        <v>37.4</v>
      </c>
      <c r="H97">
        <v>37.6</v>
      </c>
      <c r="I97">
        <v>31</v>
      </c>
      <c r="J97">
        <v>46.9</v>
      </c>
      <c r="K97">
        <f t="shared" si="2"/>
        <v>37.5</v>
      </c>
      <c r="L97" t="str">
        <f t="shared" si="3"/>
        <v>F</v>
      </c>
    </row>
    <row r="98" spans="1:12" x14ac:dyDescent="0.35">
      <c r="A98" t="s">
        <v>10</v>
      </c>
      <c r="B98" t="s">
        <v>89</v>
      </c>
      <c r="C98" t="s">
        <v>98</v>
      </c>
      <c r="D98">
        <v>585</v>
      </c>
      <c r="E98">
        <v>0.73099999999999998</v>
      </c>
      <c r="F98">
        <v>36.4</v>
      </c>
      <c r="G98">
        <v>39.5</v>
      </c>
      <c r="H98">
        <v>34.9</v>
      </c>
      <c r="I98">
        <v>34.9</v>
      </c>
      <c r="J98">
        <v>48.9</v>
      </c>
      <c r="K98">
        <f t="shared" si="2"/>
        <v>37.200000000000003</v>
      </c>
      <c r="L98" t="str">
        <f t="shared" si="3"/>
        <v>M2-1</v>
      </c>
    </row>
    <row r="99" spans="1:12" x14ac:dyDescent="0.35">
      <c r="A99" t="s">
        <v>10</v>
      </c>
      <c r="B99" t="s">
        <v>89</v>
      </c>
      <c r="C99" t="s">
        <v>99</v>
      </c>
      <c r="D99">
        <v>267</v>
      </c>
      <c r="E99">
        <v>0.63500000000000001</v>
      </c>
      <c r="F99">
        <v>28.1</v>
      </c>
      <c r="G99">
        <v>36</v>
      </c>
      <c r="H99">
        <v>25.8</v>
      </c>
      <c r="I99">
        <v>22.5</v>
      </c>
      <c r="J99">
        <v>44.6</v>
      </c>
      <c r="K99">
        <f t="shared" si="2"/>
        <v>30.9</v>
      </c>
      <c r="L99" t="str">
        <f t="shared" si="3"/>
        <v>M2-2</v>
      </c>
    </row>
    <row r="100" spans="1:12" x14ac:dyDescent="0.35">
      <c r="A100" t="s">
        <v>10</v>
      </c>
      <c r="B100" t="s">
        <v>89</v>
      </c>
      <c r="C100" t="s">
        <v>100</v>
      </c>
      <c r="D100">
        <v>6498</v>
      </c>
      <c r="E100">
        <v>0.69199999999999995</v>
      </c>
      <c r="F100">
        <v>30.7</v>
      </c>
      <c r="G100">
        <v>36.1</v>
      </c>
      <c r="H100">
        <v>30.8</v>
      </c>
      <c r="I100">
        <v>25.2</v>
      </c>
      <c r="J100">
        <v>40.9</v>
      </c>
      <c r="K100">
        <f t="shared" si="2"/>
        <v>33.450000000000003</v>
      </c>
      <c r="L100" t="str">
        <f t="shared" si="3"/>
        <v>L</v>
      </c>
    </row>
    <row r="101" spans="1:12" x14ac:dyDescent="0.35">
      <c r="A101" t="s">
        <v>10</v>
      </c>
      <c r="B101" t="s">
        <v>101</v>
      </c>
      <c r="C101" t="s">
        <v>36</v>
      </c>
      <c r="D101">
        <v>420</v>
      </c>
      <c r="E101">
        <v>0.70699999999999996</v>
      </c>
      <c r="F101">
        <v>30.7</v>
      </c>
      <c r="G101">
        <v>35</v>
      </c>
      <c r="H101">
        <v>29.3</v>
      </c>
      <c r="I101">
        <v>27.9</v>
      </c>
      <c r="J101">
        <v>49.1</v>
      </c>
      <c r="K101">
        <f t="shared" si="2"/>
        <v>32.15</v>
      </c>
      <c r="L101" t="str">
        <f t="shared" si="3"/>
        <v>NS1</v>
      </c>
    </row>
    <row r="102" spans="1:12" x14ac:dyDescent="0.35">
      <c r="A102" t="s">
        <v>10</v>
      </c>
      <c r="B102" t="s">
        <v>101</v>
      </c>
      <c r="C102" t="s">
        <v>37</v>
      </c>
      <c r="D102">
        <v>375</v>
      </c>
      <c r="E102">
        <v>0.76300000000000001</v>
      </c>
      <c r="F102">
        <v>33.6</v>
      </c>
      <c r="G102">
        <v>34.4</v>
      </c>
      <c r="H102">
        <v>32</v>
      </c>
      <c r="I102">
        <v>34.4</v>
      </c>
      <c r="J102">
        <v>43.8</v>
      </c>
      <c r="K102">
        <f t="shared" si="2"/>
        <v>33.200000000000003</v>
      </c>
      <c r="L102" t="str">
        <f t="shared" si="3"/>
        <v>NS2</v>
      </c>
    </row>
    <row r="103" spans="1:12" x14ac:dyDescent="0.35">
      <c r="A103" t="s">
        <v>10</v>
      </c>
      <c r="B103" t="s">
        <v>101</v>
      </c>
      <c r="C103" t="s">
        <v>38</v>
      </c>
      <c r="D103">
        <v>1176</v>
      </c>
      <c r="E103">
        <v>0.70099999999999996</v>
      </c>
      <c r="F103">
        <v>37</v>
      </c>
      <c r="G103">
        <v>47.7</v>
      </c>
      <c r="H103">
        <v>33.9</v>
      </c>
      <c r="I103">
        <v>29.3</v>
      </c>
      <c r="J103">
        <v>45.7</v>
      </c>
      <c r="K103">
        <f t="shared" si="2"/>
        <v>40.799999999999997</v>
      </c>
      <c r="L103" t="str">
        <f t="shared" si="3"/>
        <v>N</v>
      </c>
    </row>
    <row r="104" spans="1:12" x14ac:dyDescent="0.35">
      <c r="A104" t="s">
        <v>10</v>
      </c>
      <c r="B104" t="s">
        <v>101</v>
      </c>
      <c r="C104" t="s">
        <v>102</v>
      </c>
      <c r="D104">
        <v>726</v>
      </c>
      <c r="E104">
        <v>0.71599999999999997</v>
      </c>
      <c r="F104">
        <v>35.799999999999997</v>
      </c>
      <c r="G104">
        <v>44.6</v>
      </c>
      <c r="H104">
        <v>35.1</v>
      </c>
      <c r="I104">
        <v>27.7</v>
      </c>
      <c r="J104">
        <v>44.8</v>
      </c>
      <c r="K104">
        <f t="shared" si="2"/>
        <v>39.85</v>
      </c>
      <c r="L104" t="str">
        <f t="shared" si="3"/>
        <v>P</v>
      </c>
    </row>
    <row r="105" spans="1:12" x14ac:dyDescent="0.35">
      <c r="A105" t="s">
        <v>10</v>
      </c>
      <c r="B105" t="s">
        <v>101</v>
      </c>
      <c r="C105" t="s">
        <v>103</v>
      </c>
      <c r="D105">
        <v>771</v>
      </c>
      <c r="E105">
        <v>0.69599999999999995</v>
      </c>
      <c r="F105">
        <v>36.700000000000003</v>
      </c>
      <c r="G105">
        <v>41.2</v>
      </c>
      <c r="H105">
        <v>36.200000000000003</v>
      </c>
      <c r="I105">
        <v>32.700000000000003</v>
      </c>
      <c r="J105">
        <v>40</v>
      </c>
      <c r="K105">
        <f t="shared" si="2"/>
        <v>38.700000000000003</v>
      </c>
      <c r="L105" t="str">
        <f t="shared" si="3"/>
        <v>M</v>
      </c>
    </row>
    <row r="106" spans="1:12" x14ac:dyDescent="0.35">
      <c r="A106" t="s">
        <v>10</v>
      </c>
      <c r="B106" t="s">
        <v>101</v>
      </c>
      <c r="C106" t="s">
        <v>104</v>
      </c>
      <c r="D106">
        <v>195</v>
      </c>
      <c r="E106">
        <v>0.68</v>
      </c>
      <c r="F106">
        <v>31.8</v>
      </c>
      <c r="G106">
        <v>26.2</v>
      </c>
      <c r="H106">
        <v>30.8</v>
      </c>
      <c r="I106">
        <v>38.5</v>
      </c>
      <c r="J106">
        <v>45.4</v>
      </c>
      <c r="K106">
        <f t="shared" si="2"/>
        <v>28.5</v>
      </c>
      <c r="L106" t="str">
        <f t="shared" si="3"/>
        <v>SH</v>
      </c>
    </row>
    <row r="107" spans="1:12" x14ac:dyDescent="0.35">
      <c r="A107" t="s">
        <v>10</v>
      </c>
      <c r="B107" t="s">
        <v>101</v>
      </c>
      <c r="C107" t="s">
        <v>105</v>
      </c>
      <c r="D107">
        <v>897</v>
      </c>
      <c r="E107">
        <v>0.74399999999999999</v>
      </c>
      <c r="F107">
        <v>42.6</v>
      </c>
      <c r="G107">
        <v>34.1</v>
      </c>
      <c r="H107">
        <v>47.8</v>
      </c>
      <c r="I107">
        <v>45.8</v>
      </c>
      <c r="J107">
        <v>48.3</v>
      </c>
      <c r="K107">
        <f t="shared" si="2"/>
        <v>40.950000000000003</v>
      </c>
      <c r="L107" t="str">
        <f t="shared" si="3"/>
        <v>G</v>
      </c>
    </row>
    <row r="108" spans="1:12" x14ac:dyDescent="0.35">
      <c r="A108" t="s">
        <v>10</v>
      </c>
      <c r="B108" t="s">
        <v>101</v>
      </c>
      <c r="C108" t="s">
        <v>106</v>
      </c>
      <c r="D108">
        <v>1725</v>
      </c>
      <c r="E108">
        <v>0.69099999999999995</v>
      </c>
      <c r="F108">
        <v>35.1</v>
      </c>
      <c r="G108">
        <v>37.200000000000003</v>
      </c>
      <c r="H108">
        <v>37.4</v>
      </c>
      <c r="I108">
        <v>30.6</v>
      </c>
      <c r="J108">
        <v>45.9</v>
      </c>
      <c r="K108">
        <f t="shared" si="2"/>
        <v>37.299999999999997</v>
      </c>
      <c r="L108" t="str">
        <f t="shared" si="3"/>
        <v>F</v>
      </c>
    </row>
    <row r="109" spans="1:12" x14ac:dyDescent="0.35">
      <c r="A109" t="s">
        <v>10</v>
      </c>
      <c r="B109" t="s">
        <v>101</v>
      </c>
      <c r="C109" t="s">
        <v>107</v>
      </c>
      <c r="D109">
        <v>585</v>
      </c>
      <c r="E109">
        <v>0.73899999999999999</v>
      </c>
      <c r="F109">
        <v>36.799999999999997</v>
      </c>
      <c r="G109">
        <v>39</v>
      </c>
      <c r="H109">
        <v>34.9</v>
      </c>
      <c r="I109">
        <v>36.4</v>
      </c>
      <c r="J109">
        <v>48.1</v>
      </c>
      <c r="K109">
        <f t="shared" si="2"/>
        <v>36.950000000000003</v>
      </c>
      <c r="L109" t="str">
        <f t="shared" si="3"/>
        <v>M2-1</v>
      </c>
    </row>
    <row r="110" spans="1:12" x14ac:dyDescent="0.35">
      <c r="A110" t="s">
        <v>10</v>
      </c>
      <c r="B110" t="s">
        <v>101</v>
      </c>
      <c r="C110" t="s">
        <v>108</v>
      </c>
      <c r="D110">
        <v>267</v>
      </c>
      <c r="E110">
        <v>0.64400000000000002</v>
      </c>
      <c r="F110">
        <v>29.6</v>
      </c>
      <c r="G110">
        <v>37.1</v>
      </c>
      <c r="H110">
        <v>27</v>
      </c>
      <c r="I110">
        <v>24.7</v>
      </c>
      <c r="J110">
        <v>32.299999999999997</v>
      </c>
      <c r="K110">
        <f t="shared" si="2"/>
        <v>32.049999999999997</v>
      </c>
      <c r="L110" t="str">
        <f t="shared" si="3"/>
        <v>M2-2</v>
      </c>
    </row>
    <row r="111" spans="1:12" x14ac:dyDescent="0.35">
      <c r="A111" t="s">
        <v>10</v>
      </c>
      <c r="B111" t="s">
        <v>101</v>
      </c>
      <c r="C111" t="s">
        <v>109</v>
      </c>
      <c r="D111">
        <v>6498</v>
      </c>
      <c r="E111">
        <v>0.69199999999999995</v>
      </c>
      <c r="F111">
        <v>30.5</v>
      </c>
      <c r="G111">
        <v>35.799999999999997</v>
      </c>
      <c r="H111">
        <v>30.8</v>
      </c>
      <c r="I111">
        <v>25</v>
      </c>
      <c r="J111">
        <v>41</v>
      </c>
      <c r="K111">
        <f t="shared" si="2"/>
        <v>33.299999999999997</v>
      </c>
      <c r="L111" t="str">
        <f t="shared" si="3"/>
        <v>L</v>
      </c>
    </row>
    <row r="112" spans="1:12" x14ac:dyDescent="0.35">
      <c r="A112" t="s">
        <v>10</v>
      </c>
      <c r="B112" t="s">
        <v>110</v>
      </c>
      <c r="C112" t="s">
        <v>111</v>
      </c>
      <c r="D112">
        <v>420</v>
      </c>
      <c r="E112">
        <v>0.71099999999999997</v>
      </c>
      <c r="F112">
        <v>30</v>
      </c>
      <c r="G112">
        <v>34.299999999999997</v>
      </c>
      <c r="H112">
        <v>29.3</v>
      </c>
      <c r="I112">
        <v>26.4</v>
      </c>
      <c r="J112">
        <v>46.1</v>
      </c>
      <c r="K112">
        <f t="shared" si="2"/>
        <v>31.799999999999997</v>
      </c>
      <c r="L112" t="str">
        <f t="shared" si="3"/>
        <v>NS1</v>
      </c>
    </row>
    <row r="113" spans="1:12" x14ac:dyDescent="0.35">
      <c r="A113" t="s">
        <v>10</v>
      </c>
      <c r="B113" t="s">
        <v>110</v>
      </c>
      <c r="C113" t="s">
        <v>112</v>
      </c>
      <c r="D113">
        <v>375</v>
      </c>
      <c r="E113">
        <v>0.76100000000000001</v>
      </c>
      <c r="F113">
        <v>33.9</v>
      </c>
      <c r="G113">
        <v>34.4</v>
      </c>
      <c r="H113">
        <v>32</v>
      </c>
      <c r="I113">
        <v>35.200000000000003</v>
      </c>
      <c r="J113">
        <v>44.4</v>
      </c>
      <c r="K113">
        <f t="shared" si="2"/>
        <v>33.200000000000003</v>
      </c>
      <c r="L113" t="str">
        <f t="shared" si="3"/>
        <v>NS2</v>
      </c>
    </row>
    <row r="114" spans="1:12" x14ac:dyDescent="0.35">
      <c r="A114" t="s">
        <v>10</v>
      </c>
      <c r="B114" t="s">
        <v>110</v>
      </c>
      <c r="C114" t="s">
        <v>113</v>
      </c>
      <c r="D114">
        <v>1176</v>
      </c>
      <c r="E114">
        <v>0.70199999999999996</v>
      </c>
      <c r="F114">
        <v>37.1</v>
      </c>
      <c r="G114">
        <v>47.7</v>
      </c>
      <c r="H114">
        <v>33.9</v>
      </c>
      <c r="I114">
        <v>29.6</v>
      </c>
      <c r="J114">
        <v>45.1</v>
      </c>
      <c r="K114">
        <f t="shared" si="2"/>
        <v>40.799999999999997</v>
      </c>
      <c r="L114" t="str">
        <f t="shared" si="3"/>
        <v>N</v>
      </c>
    </row>
    <row r="115" spans="1:12" x14ac:dyDescent="0.35">
      <c r="A115" t="s">
        <v>10</v>
      </c>
      <c r="B115" t="s">
        <v>110</v>
      </c>
      <c r="C115" t="s">
        <v>114</v>
      </c>
      <c r="D115">
        <v>726</v>
      </c>
      <c r="E115">
        <v>0.71499999999999997</v>
      </c>
      <c r="F115">
        <v>35.1</v>
      </c>
      <c r="G115">
        <v>44.6</v>
      </c>
      <c r="H115">
        <v>34.700000000000003</v>
      </c>
      <c r="I115">
        <v>26</v>
      </c>
      <c r="J115">
        <v>42.9</v>
      </c>
      <c r="K115">
        <f t="shared" si="2"/>
        <v>39.650000000000006</v>
      </c>
      <c r="L115" t="str">
        <f t="shared" si="3"/>
        <v>P</v>
      </c>
    </row>
    <row r="116" spans="1:12" x14ac:dyDescent="0.35">
      <c r="A116" t="s">
        <v>10</v>
      </c>
      <c r="B116" t="s">
        <v>110</v>
      </c>
      <c r="C116" t="s">
        <v>115</v>
      </c>
      <c r="D116">
        <v>771</v>
      </c>
      <c r="E116">
        <v>0.69699999999999995</v>
      </c>
      <c r="F116">
        <v>36.700000000000003</v>
      </c>
      <c r="G116">
        <v>41.2</v>
      </c>
      <c r="H116">
        <v>36.200000000000003</v>
      </c>
      <c r="I116">
        <v>32.700000000000003</v>
      </c>
      <c r="J116">
        <v>39.700000000000003</v>
      </c>
      <c r="K116">
        <f t="shared" si="2"/>
        <v>38.700000000000003</v>
      </c>
      <c r="L116" t="str">
        <f t="shared" si="3"/>
        <v>M</v>
      </c>
    </row>
    <row r="117" spans="1:12" x14ac:dyDescent="0.35">
      <c r="A117" t="s">
        <v>10</v>
      </c>
      <c r="B117" t="s">
        <v>110</v>
      </c>
      <c r="C117" t="s">
        <v>116</v>
      </c>
      <c r="D117">
        <v>195</v>
      </c>
      <c r="E117">
        <v>0.68400000000000005</v>
      </c>
      <c r="F117">
        <v>32.299999999999997</v>
      </c>
      <c r="G117">
        <v>26.2</v>
      </c>
      <c r="H117">
        <v>30.8</v>
      </c>
      <c r="I117">
        <v>40</v>
      </c>
      <c r="J117">
        <v>44.5</v>
      </c>
      <c r="K117">
        <f t="shared" si="2"/>
        <v>28.5</v>
      </c>
      <c r="L117" t="str">
        <f t="shared" si="3"/>
        <v>SH</v>
      </c>
    </row>
    <row r="118" spans="1:12" x14ac:dyDescent="0.35">
      <c r="A118" t="s">
        <v>10</v>
      </c>
      <c r="B118" t="s">
        <v>110</v>
      </c>
      <c r="C118" t="s">
        <v>117</v>
      </c>
      <c r="D118">
        <v>894</v>
      </c>
      <c r="E118">
        <v>0.746</v>
      </c>
      <c r="F118">
        <v>42.1</v>
      </c>
      <c r="G118">
        <v>33.200000000000003</v>
      </c>
      <c r="H118">
        <v>48</v>
      </c>
      <c r="I118">
        <v>45</v>
      </c>
      <c r="J118">
        <v>44.8</v>
      </c>
      <c r="K118">
        <f t="shared" si="2"/>
        <v>40.6</v>
      </c>
      <c r="L118" t="str">
        <f t="shared" si="3"/>
        <v>G</v>
      </c>
    </row>
    <row r="119" spans="1:12" x14ac:dyDescent="0.35">
      <c r="A119" t="s">
        <v>10</v>
      </c>
      <c r="B119" t="s">
        <v>110</v>
      </c>
      <c r="C119" t="s">
        <v>118</v>
      </c>
      <c r="D119">
        <v>1725</v>
      </c>
      <c r="E119">
        <v>0.68799999999999994</v>
      </c>
      <c r="F119">
        <v>35.200000000000003</v>
      </c>
      <c r="G119">
        <v>37.6</v>
      </c>
      <c r="H119">
        <v>37.4</v>
      </c>
      <c r="I119">
        <v>30.6</v>
      </c>
      <c r="J119">
        <v>45.9</v>
      </c>
      <c r="K119">
        <f t="shared" si="2"/>
        <v>37.5</v>
      </c>
      <c r="L119" t="str">
        <f t="shared" si="3"/>
        <v>F</v>
      </c>
    </row>
    <row r="120" spans="1:12" x14ac:dyDescent="0.35">
      <c r="A120" t="s">
        <v>10</v>
      </c>
      <c r="B120" t="s">
        <v>110</v>
      </c>
      <c r="C120" t="s">
        <v>119</v>
      </c>
      <c r="D120">
        <v>585</v>
      </c>
      <c r="E120">
        <v>0.73099999999999998</v>
      </c>
      <c r="F120">
        <v>36.4</v>
      </c>
      <c r="G120">
        <v>39</v>
      </c>
      <c r="H120">
        <v>34.9</v>
      </c>
      <c r="I120">
        <v>35.4</v>
      </c>
      <c r="J120">
        <v>48.9</v>
      </c>
      <c r="K120">
        <f t="shared" si="2"/>
        <v>36.950000000000003</v>
      </c>
      <c r="L120" t="str">
        <f t="shared" si="3"/>
        <v>M2-1</v>
      </c>
    </row>
    <row r="121" spans="1:12" x14ac:dyDescent="0.35">
      <c r="A121" t="s">
        <v>10</v>
      </c>
      <c r="B121" t="s">
        <v>110</v>
      </c>
      <c r="C121" t="s">
        <v>120</v>
      </c>
      <c r="D121">
        <v>267</v>
      </c>
      <c r="E121">
        <v>0.64100000000000001</v>
      </c>
      <c r="F121">
        <v>28.8</v>
      </c>
      <c r="G121">
        <v>37.1</v>
      </c>
      <c r="H121">
        <v>25.8</v>
      </c>
      <c r="I121">
        <v>23.6</v>
      </c>
      <c r="J121">
        <v>43.1</v>
      </c>
      <c r="K121">
        <f t="shared" si="2"/>
        <v>31.450000000000003</v>
      </c>
      <c r="L121" t="str">
        <f t="shared" si="3"/>
        <v>M2-2</v>
      </c>
    </row>
    <row r="122" spans="1:12" x14ac:dyDescent="0.35">
      <c r="A122" t="s">
        <v>10</v>
      </c>
      <c r="B122" t="s">
        <v>110</v>
      </c>
      <c r="C122" t="s">
        <v>121</v>
      </c>
      <c r="D122">
        <v>6498</v>
      </c>
      <c r="E122">
        <v>0.69399999999999995</v>
      </c>
      <c r="F122">
        <v>31</v>
      </c>
      <c r="G122">
        <v>36</v>
      </c>
      <c r="H122">
        <v>31</v>
      </c>
      <c r="I122">
        <v>25.9</v>
      </c>
      <c r="J122">
        <v>41.7</v>
      </c>
      <c r="K122">
        <f t="shared" si="2"/>
        <v>33.5</v>
      </c>
      <c r="L122" t="str">
        <f t="shared" si="3"/>
        <v>L</v>
      </c>
    </row>
    <row r="123" spans="1:12" x14ac:dyDescent="0.35">
      <c r="A123" t="s">
        <v>10</v>
      </c>
      <c r="B123" t="s">
        <v>122</v>
      </c>
      <c r="C123" t="s">
        <v>12</v>
      </c>
      <c r="D123">
        <v>420</v>
      </c>
      <c r="E123">
        <v>0.71</v>
      </c>
      <c r="F123">
        <v>31</v>
      </c>
      <c r="G123">
        <v>35</v>
      </c>
      <c r="H123">
        <v>29.3</v>
      </c>
      <c r="I123">
        <v>28.6</v>
      </c>
      <c r="J123">
        <v>49.6</v>
      </c>
      <c r="K123">
        <f t="shared" si="2"/>
        <v>32.15</v>
      </c>
      <c r="L123" t="str">
        <f t="shared" si="3"/>
        <v>NS1</v>
      </c>
    </row>
    <row r="124" spans="1:12" x14ac:dyDescent="0.35">
      <c r="A124" t="s">
        <v>10</v>
      </c>
      <c r="B124" t="s">
        <v>122</v>
      </c>
      <c r="C124" t="s">
        <v>57</v>
      </c>
      <c r="D124">
        <v>375</v>
      </c>
      <c r="E124">
        <v>0.754</v>
      </c>
      <c r="F124">
        <v>33.6</v>
      </c>
      <c r="G124">
        <v>34.4</v>
      </c>
      <c r="H124">
        <v>32</v>
      </c>
      <c r="I124">
        <v>34.4</v>
      </c>
      <c r="J124">
        <v>41.1</v>
      </c>
      <c r="K124">
        <f t="shared" si="2"/>
        <v>33.200000000000003</v>
      </c>
      <c r="L124" t="str">
        <f t="shared" si="3"/>
        <v>NS2</v>
      </c>
    </row>
    <row r="125" spans="1:12" x14ac:dyDescent="0.35">
      <c r="A125" t="s">
        <v>10</v>
      </c>
      <c r="B125" t="s">
        <v>122</v>
      </c>
      <c r="C125" t="s">
        <v>58</v>
      </c>
      <c r="D125">
        <v>1176</v>
      </c>
      <c r="E125">
        <v>0.69699999999999995</v>
      </c>
      <c r="F125">
        <v>37.1</v>
      </c>
      <c r="G125">
        <v>47.7</v>
      </c>
      <c r="H125">
        <v>33.9</v>
      </c>
      <c r="I125">
        <v>29.6</v>
      </c>
      <c r="J125">
        <v>46.4</v>
      </c>
      <c r="K125">
        <f t="shared" si="2"/>
        <v>40.799999999999997</v>
      </c>
      <c r="L125" t="str">
        <f t="shared" si="3"/>
        <v>N</v>
      </c>
    </row>
    <row r="126" spans="1:12" x14ac:dyDescent="0.35">
      <c r="A126" t="s">
        <v>10</v>
      </c>
      <c r="B126" t="s">
        <v>122</v>
      </c>
      <c r="C126" t="s">
        <v>59</v>
      </c>
      <c r="D126">
        <v>726</v>
      </c>
      <c r="E126">
        <v>0.71</v>
      </c>
      <c r="F126">
        <v>35.4</v>
      </c>
      <c r="G126">
        <v>44.6</v>
      </c>
      <c r="H126">
        <v>35.1</v>
      </c>
      <c r="I126">
        <v>26.4</v>
      </c>
      <c r="J126">
        <v>43.9</v>
      </c>
      <c r="K126">
        <f t="shared" si="2"/>
        <v>39.85</v>
      </c>
      <c r="L126" t="str">
        <f t="shared" si="3"/>
        <v>P</v>
      </c>
    </row>
    <row r="127" spans="1:12" x14ac:dyDescent="0.35">
      <c r="A127" t="s">
        <v>10</v>
      </c>
      <c r="B127" t="s">
        <v>122</v>
      </c>
      <c r="C127" t="s">
        <v>123</v>
      </c>
      <c r="D127">
        <v>771</v>
      </c>
      <c r="E127">
        <v>0.69099999999999995</v>
      </c>
      <c r="F127">
        <v>36.299999999999997</v>
      </c>
      <c r="G127">
        <v>41.2</v>
      </c>
      <c r="H127">
        <v>35.799999999999997</v>
      </c>
      <c r="I127">
        <v>31.9</v>
      </c>
      <c r="J127">
        <v>40</v>
      </c>
      <c r="K127">
        <f t="shared" si="2"/>
        <v>38.5</v>
      </c>
      <c r="L127" t="str">
        <f t="shared" si="3"/>
        <v>M</v>
      </c>
    </row>
    <row r="128" spans="1:12" x14ac:dyDescent="0.35">
      <c r="A128" t="s">
        <v>10</v>
      </c>
      <c r="B128" t="s">
        <v>122</v>
      </c>
      <c r="C128" t="s">
        <v>49</v>
      </c>
      <c r="D128">
        <v>195</v>
      </c>
      <c r="E128">
        <v>0.69199999999999995</v>
      </c>
      <c r="F128">
        <v>32.799999999999997</v>
      </c>
      <c r="G128">
        <v>27.7</v>
      </c>
      <c r="H128">
        <v>30.8</v>
      </c>
      <c r="I128">
        <v>40</v>
      </c>
      <c r="J128">
        <v>45.6</v>
      </c>
      <c r="K128">
        <f t="shared" si="2"/>
        <v>29.25</v>
      </c>
      <c r="L128" t="str">
        <f t="shared" si="3"/>
        <v>SH</v>
      </c>
    </row>
    <row r="129" spans="1:12" x14ac:dyDescent="0.35">
      <c r="A129" t="s">
        <v>10</v>
      </c>
      <c r="B129" t="s">
        <v>122</v>
      </c>
      <c r="C129" t="s">
        <v>50</v>
      </c>
      <c r="D129">
        <v>966</v>
      </c>
      <c r="E129">
        <v>0.74299999999999999</v>
      </c>
      <c r="F129">
        <v>42</v>
      </c>
      <c r="G129">
        <v>34.200000000000003</v>
      </c>
      <c r="H129">
        <v>48.8</v>
      </c>
      <c r="I129">
        <v>43.2</v>
      </c>
      <c r="J129">
        <v>50.1</v>
      </c>
      <c r="K129">
        <f t="shared" si="2"/>
        <v>41.5</v>
      </c>
      <c r="L129" t="str">
        <f t="shared" si="3"/>
        <v>G</v>
      </c>
    </row>
    <row r="130" spans="1:12" x14ac:dyDescent="0.35">
      <c r="A130" t="s">
        <v>10</v>
      </c>
      <c r="B130" t="s">
        <v>122</v>
      </c>
      <c r="C130" t="s">
        <v>51</v>
      </c>
      <c r="D130">
        <v>1725</v>
      </c>
      <c r="E130">
        <v>0.69399999999999995</v>
      </c>
      <c r="F130">
        <v>35.1</v>
      </c>
      <c r="G130">
        <v>37.200000000000003</v>
      </c>
      <c r="H130">
        <v>37.6</v>
      </c>
      <c r="I130">
        <v>30.6</v>
      </c>
      <c r="J130">
        <v>46</v>
      </c>
      <c r="K130">
        <f t="shared" si="2"/>
        <v>37.400000000000006</v>
      </c>
      <c r="L130" t="str">
        <f t="shared" si="3"/>
        <v>F</v>
      </c>
    </row>
    <row r="131" spans="1:12" x14ac:dyDescent="0.35">
      <c r="A131" t="s">
        <v>10</v>
      </c>
      <c r="B131" t="s">
        <v>122</v>
      </c>
      <c r="C131" t="s">
        <v>52</v>
      </c>
      <c r="D131">
        <v>585</v>
      </c>
      <c r="E131">
        <v>0.73099999999999998</v>
      </c>
      <c r="F131">
        <v>36.4</v>
      </c>
      <c r="G131">
        <v>39</v>
      </c>
      <c r="H131">
        <v>34.9</v>
      </c>
      <c r="I131">
        <v>35.4</v>
      </c>
      <c r="J131">
        <v>48</v>
      </c>
      <c r="K131">
        <f t="shared" ref="K131:K194" si="4">(G131+H131)/2</f>
        <v>36.950000000000003</v>
      </c>
      <c r="L131" t="str">
        <f t="shared" ref="L131:L194" si="5">IF(ISNUMBER(SEARCH("M2-1",C131)),"M2-1",IF(ISNUMBER(SEARCH("M2-2",C131)),"M2-2",IF(LEFT(C131,3)="NS1","NS1",IF(LEFT(C131,3)="NS2","NS2",IF(LEFT(C131,2)="N_","N",IF(LEFT(C131,2)="P_","P",IF(LEFT(C131,2)="M_","M",IF(LEFT(C131,2)="SH","SH",IF(LEFT(C131,2)="G_","G",IF(LEFT(C131,2)="F_","F",IF(LEFT(C131,2)="L_","L","UNKNOWN")))))))))))</f>
        <v>M2-1</v>
      </c>
    </row>
    <row r="132" spans="1:12" x14ac:dyDescent="0.35">
      <c r="A132" t="s">
        <v>10</v>
      </c>
      <c r="B132" t="s">
        <v>122</v>
      </c>
      <c r="C132" t="s">
        <v>53</v>
      </c>
      <c r="D132">
        <v>267</v>
      </c>
      <c r="E132">
        <v>0.63700000000000001</v>
      </c>
      <c r="F132">
        <v>29.2</v>
      </c>
      <c r="G132">
        <v>36</v>
      </c>
      <c r="H132">
        <v>28.1</v>
      </c>
      <c r="I132">
        <v>23.6</v>
      </c>
      <c r="J132">
        <v>44.7</v>
      </c>
      <c r="K132">
        <f t="shared" si="4"/>
        <v>32.049999999999997</v>
      </c>
      <c r="L132" t="str">
        <f t="shared" si="5"/>
        <v>M2-2</v>
      </c>
    </row>
    <row r="133" spans="1:12" x14ac:dyDescent="0.35">
      <c r="A133" t="s">
        <v>10</v>
      </c>
      <c r="B133" t="s">
        <v>122</v>
      </c>
      <c r="C133" t="s">
        <v>54</v>
      </c>
      <c r="D133">
        <v>6498</v>
      </c>
      <c r="E133">
        <v>0.69099999999999995</v>
      </c>
      <c r="F133">
        <v>30.7</v>
      </c>
      <c r="G133">
        <v>35.9</v>
      </c>
      <c r="H133">
        <v>30.9</v>
      </c>
      <c r="I133">
        <v>25.3</v>
      </c>
      <c r="J133">
        <v>41.3</v>
      </c>
      <c r="K133">
        <f t="shared" si="4"/>
        <v>33.4</v>
      </c>
      <c r="L133" t="str">
        <f t="shared" si="5"/>
        <v>L</v>
      </c>
    </row>
    <row r="134" spans="1:12" x14ac:dyDescent="0.35">
      <c r="A134" t="s">
        <v>10</v>
      </c>
      <c r="B134" t="s">
        <v>124</v>
      </c>
      <c r="C134" t="s">
        <v>125</v>
      </c>
      <c r="D134">
        <v>420</v>
      </c>
      <c r="E134">
        <v>0.70699999999999996</v>
      </c>
      <c r="F134">
        <v>30.7</v>
      </c>
      <c r="G134">
        <v>35</v>
      </c>
      <c r="H134">
        <v>29.3</v>
      </c>
      <c r="I134">
        <v>27.9</v>
      </c>
      <c r="J134">
        <v>48.6</v>
      </c>
      <c r="K134">
        <f t="shared" si="4"/>
        <v>32.15</v>
      </c>
      <c r="L134" t="str">
        <f t="shared" si="5"/>
        <v>NS1</v>
      </c>
    </row>
    <row r="135" spans="1:12" x14ac:dyDescent="0.35">
      <c r="A135" t="s">
        <v>10</v>
      </c>
      <c r="B135" t="s">
        <v>124</v>
      </c>
      <c r="C135" t="s">
        <v>112</v>
      </c>
      <c r="D135">
        <v>375</v>
      </c>
      <c r="E135">
        <v>0.76</v>
      </c>
      <c r="F135">
        <v>34.700000000000003</v>
      </c>
      <c r="G135">
        <v>34.4</v>
      </c>
      <c r="H135">
        <v>32</v>
      </c>
      <c r="I135">
        <v>37.6</v>
      </c>
      <c r="J135">
        <v>42.8</v>
      </c>
      <c r="K135">
        <f t="shared" si="4"/>
        <v>33.200000000000003</v>
      </c>
      <c r="L135" t="str">
        <f t="shared" si="5"/>
        <v>NS2</v>
      </c>
    </row>
    <row r="136" spans="1:12" x14ac:dyDescent="0.35">
      <c r="A136" t="s">
        <v>10</v>
      </c>
      <c r="B136" t="s">
        <v>124</v>
      </c>
      <c r="C136" t="s">
        <v>113</v>
      </c>
      <c r="D136">
        <v>1176</v>
      </c>
      <c r="E136">
        <v>0.70199999999999996</v>
      </c>
      <c r="F136">
        <v>36.9</v>
      </c>
      <c r="G136">
        <v>47.7</v>
      </c>
      <c r="H136">
        <v>33.9</v>
      </c>
      <c r="I136">
        <v>29.1</v>
      </c>
      <c r="J136">
        <v>47.7</v>
      </c>
      <c r="K136">
        <f t="shared" si="4"/>
        <v>40.799999999999997</v>
      </c>
      <c r="L136" t="str">
        <f t="shared" si="5"/>
        <v>N</v>
      </c>
    </row>
    <row r="137" spans="1:12" x14ac:dyDescent="0.35">
      <c r="A137" t="s">
        <v>10</v>
      </c>
      <c r="B137" t="s">
        <v>124</v>
      </c>
      <c r="C137" t="s">
        <v>114</v>
      </c>
      <c r="D137">
        <v>726</v>
      </c>
      <c r="E137">
        <v>0.71199999999999997</v>
      </c>
      <c r="F137">
        <v>35.5</v>
      </c>
      <c r="G137">
        <v>44.6</v>
      </c>
      <c r="H137">
        <v>34.700000000000003</v>
      </c>
      <c r="I137">
        <v>27.3</v>
      </c>
      <c r="J137">
        <v>45.2</v>
      </c>
      <c r="K137">
        <f t="shared" si="4"/>
        <v>39.650000000000006</v>
      </c>
      <c r="L137" t="str">
        <f t="shared" si="5"/>
        <v>P</v>
      </c>
    </row>
    <row r="138" spans="1:12" x14ac:dyDescent="0.35">
      <c r="A138" t="s">
        <v>10</v>
      </c>
      <c r="B138" t="s">
        <v>124</v>
      </c>
      <c r="C138" t="s">
        <v>126</v>
      </c>
      <c r="D138">
        <v>771</v>
      </c>
      <c r="E138">
        <v>0.69899999999999995</v>
      </c>
      <c r="F138">
        <v>36.799999999999997</v>
      </c>
      <c r="G138">
        <v>41.6</v>
      </c>
      <c r="H138">
        <v>36.200000000000003</v>
      </c>
      <c r="I138">
        <v>32.700000000000003</v>
      </c>
      <c r="J138">
        <v>40.200000000000003</v>
      </c>
      <c r="K138">
        <f t="shared" si="4"/>
        <v>38.900000000000006</v>
      </c>
      <c r="L138" t="str">
        <f t="shared" si="5"/>
        <v>M</v>
      </c>
    </row>
    <row r="139" spans="1:12" x14ac:dyDescent="0.35">
      <c r="A139" t="s">
        <v>10</v>
      </c>
      <c r="B139" t="s">
        <v>124</v>
      </c>
      <c r="C139" t="s">
        <v>127</v>
      </c>
      <c r="D139">
        <v>195</v>
      </c>
      <c r="E139">
        <v>0.67800000000000005</v>
      </c>
      <c r="F139">
        <v>31.3</v>
      </c>
      <c r="G139">
        <v>26.2</v>
      </c>
      <c r="H139">
        <v>30.8</v>
      </c>
      <c r="I139">
        <v>36.9</v>
      </c>
      <c r="J139">
        <v>45.4</v>
      </c>
      <c r="K139">
        <f t="shared" si="4"/>
        <v>28.5</v>
      </c>
      <c r="L139" t="str">
        <f t="shared" si="5"/>
        <v>SH</v>
      </c>
    </row>
    <row r="140" spans="1:12" x14ac:dyDescent="0.35">
      <c r="A140" t="s">
        <v>10</v>
      </c>
      <c r="B140" t="s">
        <v>124</v>
      </c>
      <c r="C140" t="s">
        <v>128</v>
      </c>
      <c r="D140">
        <v>966</v>
      </c>
      <c r="E140">
        <v>0.748</v>
      </c>
      <c r="F140">
        <v>42.9</v>
      </c>
      <c r="G140">
        <v>35.1</v>
      </c>
      <c r="H140">
        <v>48.8</v>
      </c>
      <c r="I140">
        <v>44.7</v>
      </c>
      <c r="J140">
        <v>50.3</v>
      </c>
      <c r="K140">
        <f t="shared" si="4"/>
        <v>41.95</v>
      </c>
      <c r="L140" t="str">
        <f t="shared" si="5"/>
        <v>G</v>
      </c>
    </row>
    <row r="141" spans="1:12" x14ac:dyDescent="0.35">
      <c r="A141" t="s">
        <v>10</v>
      </c>
      <c r="B141" t="s">
        <v>124</v>
      </c>
      <c r="C141" t="s">
        <v>129</v>
      </c>
      <c r="D141">
        <v>1725</v>
      </c>
      <c r="E141">
        <v>0.69099999999999995</v>
      </c>
      <c r="F141">
        <v>35.299999999999997</v>
      </c>
      <c r="G141">
        <v>37.4</v>
      </c>
      <c r="H141">
        <v>37.6</v>
      </c>
      <c r="I141">
        <v>31</v>
      </c>
      <c r="J141">
        <v>47.1</v>
      </c>
      <c r="K141">
        <f t="shared" si="4"/>
        <v>37.5</v>
      </c>
      <c r="L141" t="str">
        <f t="shared" si="5"/>
        <v>F</v>
      </c>
    </row>
    <row r="142" spans="1:12" x14ac:dyDescent="0.35">
      <c r="A142" t="s">
        <v>10</v>
      </c>
      <c r="B142" t="s">
        <v>124</v>
      </c>
      <c r="C142" t="s">
        <v>130</v>
      </c>
      <c r="D142">
        <v>585</v>
      </c>
      <c r="E142">
        <v>0.73</v>
      </c>
      <c r="F142">
        <v>36.200000000000003</v>
      </c>
      <c r="G142">
        <v>39.5</v>
      </c>
      <c r="H142">
        <v>34.9</v>
      </c>
      <c r="I142">
        <v>34.4</v>
      </c>
      <c r="J142">
        <v>48.7</v>
      </c>
      <c r="K142">
        <f t="shared" si="4"/>
        <v>37.200000000000003</v>
      </c>
      <c r="L142" t="str">
        <f t="shared" si="5"/>
        <v>M2-1</v>
      </c>
    </row>
    <row r="143" spans="1:12" x14ac:dyDescent="0.35">
      <c r="A143" t="s">
        <v>10</v>
      </c>
      <c r="B143" t="s">
        <v>124</v>
      </c>
      <c r="C143" t="s">
        <v>131</v>
      </c>
      <c r="D143">
        <v>267</v>
      </c>
      <c r="E143">
        <v>0.63700000000000001</v>
      </c>
      <c r="F143">
        <v>28.5</v>
      </c>
      <c r="G143">
        <v>36</v>
      </c>
      <c r="H143">
        <v>25.8</v>
      </c>
      <c r="I143">
        <v>23.6</v>
      </c>
      <c r="J143">
        <v>44.6</v>
      </c>
      <c r="K143">
        <f t="shared" si="4"/>
        <v>30.9</v>
      </c>
      <c r="L143" t="str">
        <f t="shared" si="5"/>
        <v>M2-2</v>
      </c>
    </row>
    <row r="144" spans="1:12" x14ac:dyDescent="0.35">
      <c r="A144" t="s">
        <v>10</v>
      </c>
      <c r="B144" t="s">
        <v>124</v>
      </c>
      <c r="C144" t="s">
        <v>132</v>
      </c>
      <c r="D144">
        <v>6498</v>
      </c>
      <c r="E144">
        <v>0.69299999999999995</v>
      </c>
      <c r="F144">
        <v>30.7</v>
      </c>
      <c r="G144">
        <v>36.1</v>
      </c>
      <c r="H144">
        <v>30.9</v>
      </c>
      <c r="I144">
        <v>25.1</v>
      </c>
      <c r="J144">
        <v>40.9</v>
      </c>
      <c r="K144">
        <f t="shared" si="4"/>
        <v>33.5</v>
      </c>
      <c r="L144" t="str">
        <f t="shared" si="5"/>
        <v>L</v>
      </c>
    </row>
    <row r="145" spans="1:12" x14ac:dyDescent="0.35">
      <c r="A145" t="s">
        <v>10</v>
      </c>
      <c r="B145" t="s">
        <v>133</v>
      </c>
      <c r="C145" t="s">
        <v>12</v>
      </c>
      <c r="D145">
        <v>420</v>
      </c>
      <c r="E145">
        <v>0.70599999999999996</v>
      </c>
      <c r="F145">
        <v>30.5</v>
      </c>
      <c r="G145">
        <v>35</v>
      </c>
      <c r="H145">
        <v>29.3</v>
      </c>
      <c r="I145">
        <v>27.1</v>
      </c>
      <c r="J145">
        <v>48.5</v>
      </c>
      <c r="K145">
        <f t="shared" si="4"/>
        <v>32.15</v>
      </c>
      <c r="L145" t="str">
        <f t="shared" si="5"/>
        <v>NS1</v>
      </c>
    </row>
    <row r="146" spans="1:12" x14ac:dyDescent="0.35">
      <c r="A146" t="s">
        <v>10</v>
      </c>
      <c r="B146" t="s">
        <v>133</v>
      </c>
      <c r="C146" t="s">
        <v>13</v>
      </c>
      <c r="D146">
        <v>375</v>
      </c>
      <c r="E146">
        <v>0.76500000000000001</v>
      </c>
      <c r="F146">
        <v>34.1</v>
      </c>
      <c r="G146">
        <v>34.4</v>
      </c>
      <c r="H146">
        <v>32</v>
      </c>
      <c r="I146">
        <v>36</v>
      </c>
      <c r="J146">
        <v>42.2</v>
      </c>
      <c r="K146">
        <f t="shared" si="4"/>
        <v>33.200000000000003</v>
      </c>
      <c r="L146" t="str">
        <f t="shared" si="5"/>
        <v>NS2</v>
      </c>
    </row>
    <row r="147" spans="1:12" x14ac:dyDescent="0.35">
      <c r="A147" t="s">
        <v>10</v>
      </c>
      <c r="B147" t="s">
        <v>133</v>
      </c>
      <c r="C147" t="s">
        <v>14</v>
      </c>
      <c r="D147">
        <v>1176</v>
      </c>
      <c r="E147">
        <v>0.70199999999999996</v>
      </c>
      <c r="F147">
        <v>37.1</v>
      </c>
      <c r="G147">
        <v>47.7</v>
      </c>
      <c r="H147">
        <v>33.9</v>
      </c>
      <c r="I147">
        <v>29.6</v>
      </c>
      <c r="J147">
        <v>45.4</v>
      </c>
      <c r="K147">
        <f t="shared" si="4"/>
        <v>40.799999999999997</v>
      </c>
      <c r="L147" t="str">
        <f t="shared" si="5"/>
        <v>N</v>
      </c>
    </row>
    <row r="148" spans="1:12" x14ac:dyDescent="0.35">
      <c r="A148" t="s">
        <v>10</v>
      </c>
      <c r="B148" t="s">
        <v>133</v>
      </c>
      <c r="C148" t="s">
        <v>86</v>
      </c>
      <c r="D148">
        <v>726</v>
      </c>
      <c r="E148">
        <v>0.71699999999999997</v>
      </c>
      <c r="F148">
        <v>35.5</v>
      </c>
      <c r="G148">
        <v>44.6</v>
      </c>
      <c r="H148">
        <v>35.1</v>
      </c>
      <c r="I148">
        <v>26.9</v>
      </c>
      <c r="J148">
        <v>43.7</v>
      </c>
      <c r="K148">
        <f t="shared" si="4"/>
        <v>39.85</v>
      </c>
      <c r="L148" t="str">
        <f t="shared" si="5"/>
        <v>P</v>
      </c>
    </row>
    <row r="149" spans="1:12" x14ac:dyDescent="0.35">
      <c r="A149" t="s">
        <v>10</v>
      </c>
      <c r="B149" t="s">
        <v>133</v>
      </c>
      <c r="C149" t="s">
        <v>87</v>
      </c>
      <c r="D149">
        <v>771</v>
      </c>
      <c r="E149">
        <v>0.69899999999999995</v>
      </c>
      <c r="F149">
        <v>36.700000000000003</v>
      </c>
      <c r="G149">
        <v>41.2</v>
      </c>
      <c r="H149">
        <v>36.200000000000003</v>
      </c>
      <c r="I149">
        <v>32.700000000000003</v>
      </c>
      <c r="J149">
        <v>39.4</v>
      </c>
      <c r="K149">
        <f t="shared" si="4"/>
        <v>38.700000000000003</v>
      </c>
      <c r="L149" t="str">
        <f t="shared" si="5"/>
        <v>M</v>
      </c>
    </row>
    <row r="150" spans="1:12" x14ac:dyDescent="0.35">
      <c r="A150" t="s">
        <v>10</v>
      </c>
      <c r="B150" t="s">
        <v>133</v>
      </c>
      <c r="C150" t="s">
        <v>88</v>
      </c>
      <c r="D150">
        <v>195</v>
      </c>
      <c r="E150">
        <v>0.67600000000000005</v>
      </c>
      <c r="F150">
        <v>32.299999999999997</v>
      </c>
      <c r="G150">
        <v>26.2</v>
      </c>
      <c r="H150">
        <v>32.299999999999997</v>
      </c>
      <c r="I150">
        <v>38.5</v>
      </c>
      <c r="J150">
        <v>52.1</v>
      </c>
      <c r="K150">
        <f t="shared" si="4"/>
        <v>29.25</v>
      </c>
      <c r="L150" t="str">
        <f t="shared" si="5"/>
        <v>SH</v>
      </c>
    </row>
    <row r="151" spans="1:12" x14ac:dyDescent="0.35">
      <c r="A151" t="s">
        <v>10</v>
      </c>
      <c r="B151" t="s">
        <v>133</v>
      </c>
      <c r="C151" t="s">
        <v>18</v>
      </c>
      <c r="D151">
        <v>966</v>
      </c>
      <c r="E151">
        <v>0.749</v>
      </c>
      <c r="F151">
        <v>43.1</v>
      </c>
      <c r="G151">
        <v>35.4</v>
      </c>
      <c r="H151">
        <v>48.4</v>
      </c>
      <c r="I151">
        <v>45.3</v>
      </c>
      <c r="J151">
        <v>49.4</v>
      </c>
      <c r="K151">
        <f t="shared" si="4"/>
        <v>41.9</v>
      </c>
      <c r="L151" t="str">
        <f t="shared" si="5"/>
        <v>G</v>
      </c>
    </row>
    <row r="152" spans="1:12" x14ac:dyDescent="0.35">
      <c r="A152" t="s">
        <v>10</v>
      </c>
      <c r="B152" t="s">
        <v>133</v>
      </c>
      <c r="C152" t="s">
        <v>19</v>
      </c>
      <c r="D152">
        <v>1725</v>
      </c>
      <c r="E152">
        <v>0.68799999999999994</v>
      </c>
      <c r="F152">
        <v>35.1</v>
      </c>
      <c r="G152">
        <v>37.4</v>
      </c>
      <c r="H152">
        <v>37.4</v>
      </c>
      <c r="I152">
        <v>30.6</v>
      </c>
      <c r="J152">
        <v>45.8</v>
      </c>
      <c r="K152">
        <f t="shared" si="4"/>
        <v>37.4</v>
      </c>
      <c r="L152" t="str">
        <f t="shared" si="5"/>
        <v>F</v>
      </c>
    </row>
    <row r="153" spans="1:12" x14ac:dyDescent="0.35">
      <c r="A153" t="s">
        <v>10</v>
      </c>
      <c r="B153" t="s">
        <v>133</v>
      </c>
      <c r="C153" t="s">
        <v>20</v>
      </c>
      <c r="D153">
        <v>585</v>
      </c>
      <c r="E153">
        <v>0.73099999999999998</v>
      </c>
      <c r="F153">
        <v>36.4</v>
      </c>
      <c r="G153">
        <v>39</v>
      </c>
      <c r="H153">
        <v>34.9</v>
      </c>
      <c r="I153">
        <v>35.4</v>
      </c>
      <c r="J153">
        <v>48</v>
      </c>
      <c r="K153">
        <f t="shared" si="4"/>
        <v>36.950000000000003</v>
      </c>
      <c r="L153" t="str">
        <f t="shared" si="5"/>
        <v>M2-1</v>
      </c>
    </row>
    <row r="154" spans="1:12" x14ac:dyDescent="0.35">
      <c r="A154" t="s">
        <v>10</v>
      </c>
      <c r="B154" t="s">
        <v>133</v>
      </c>
      <c r="C154" t="s">
        <v>21</v>
      </c>
      <c r="D154">
        <v>267</v>
      </c>
      <c r="E154">
        <v>0.63800000000000001</v>
      </c>
      <c r="F154">
        <v>28.8</v>
      </c>
      <c r="G154">
        <v>36</v>
      </c>
      <c r="H154">
        <v>27</v>
      </c>
      <c r="I154">
        <v>23.6</v>
      </c>
      <c r="J154">
        <v>44.2</v>
      </c>
      <c r="K154">
        <f t="shared" si="4"/>
        <v>31.5</v>
      </c>
      <c r="L154" t="str">
        <f t="shared" si="5"/>
        <v>M2-2</v>
      </c>
    </row>
    <row r="155" spans="1:12" x14ac:dyDescent="0.35">
      <c r="A155" t="s">
        <v>10</v>
      </c>
      <c r="B155" t="s">
        <v>133</v>
      </c>
      <c r="C155" t="s">
        <v>22</v>
      </c>
      <c r="D155">
        <v>6498</v>
      </c>
      <c r="E155">
        <v>0.69199999999999995</v>
      </c>
      <c r="F155">
        <v>30.9</v>
      </c>
      <c r="G155">
        <v>36.1</v>
      </c>
      <c r="H155">
        <v>30.9</v>
      </c>
      <c r="I155">
        <v>25.6</v>
      </c>
      <c r="J155">
        <v>41.5</v>
      </c>
      <c r="K155">
        <f t="shared" si="4"/>
        <v>33.5</v>
      </c>
      <c r="L155" t="str">
        <f t="shared" si="5"/>
        <v>L</v>
      </c>
    </row>
    <row r="156" spans="1:12" x14ac:dyDescent="0.35">
      <c r="A156" t="s">
        <v>10</v>
      </c>
      <c r="B156" t="s">
        <v>134</v>
      </c>
      <c r="C156" t="s">
        <v>135</v>
      </c>
      <c r="D156">
        <v>420</v>
      </c>
      <c r="E156">
        <v>0.70599999999999996</v>
      </c>
      <c r="F156">
        <v>30.5</v>
      </c>
      <c r="G156">
        <v>35</v>
      </c>
      <c r="H156">
        <v>29.3</v>
      </c>
      <c r="I156">
        <v>27.1</v>
      </c>
      <c r="J156">
        <v>48.1</v>
      </c>
      <c r="K156">
        <f t="shared" si="4"/>
        <v>32.15</v>
      </c>
      <c r="L156" t="str">
        <f t="shared" si="5"/>
        <v>NS1</v>
      </c>
    </row>
    <row r="157" spans="1:12" x14ac:dyDescent="0.35">
      <c r="A157" t="s">
        <v>10</v>
      </c>
      <c r="B157" t="s">
        <v>134</v>
      </c>
      <c r="C157" t="s">
        <v>136</v>
      </c>
      <c r="D157">
        <v>375</v>
      </c>
      <c r="E157">
        <v>0.745</v>
      </c>
      <c r="F157">
        <v>33.6</v>
      </c>
      <c r="G157">
        <v>34.4</v>
      </c>
      <c r="H157">
        <v>31.2</v>
      </c>
      <c r="I157">
        <v>35.200000000000003</v>
      </c>
      <c r="J157">
        <v>41.7</v>
      </c>
      <c r="K157">
        <f t="shared" si="4"/>
        <v>32.799999999999997</v>
      </c>
      <c r="L157" t="str">
        <f t="shared" si="5"/>
        <v>NS2</v>
      </c>
    </row>
    <row r="158" spans="1:12" x14ac:dyDescent="0.35">
      <c r="A158" t="s">
        <v>10</v>
      </c>
      <c r="B158" t="s">
        <v>134</v>
      </c>
      <c r="C158" t="s">
        <v>137</v>
      </c>
      <c r="D158">
        <v>1176</v>
      </c>
      <c r="E158">
        <v>0.69399999999999995</v>
      </c>
      <c r="F158">
        <v>36.799999999999997</v>
      </c>
      <c r="G158">
        <v>48.2</v>
      </c>
      <c r="H158">
        <v>33.9</v>
      </c>
      <c r="I158">
        <v>28.3</v>
      </c>
      <c r="J158">
        <v>45.1</v>
      </c>
      <c r="K158">
        <f t="shared" si="4"/>
        <v>41.05</v>
      </c>
      <c r="L158" t="str">
        <f t="shared" si="5"/>
        <v>N</v>
      </c>
    </row>
    <row r="159" spans="1:12" x14ac:dyDescent="0.35">
      <c r="A159" t="s">
        <v>10</v>
      </c>
      <c r="B159" t="s">
        <v>134</v>
      </c>
      <c r="C159" t="s">
        <v>138</v>
      </c>
      <c r="D159">
        <v>726</v>
      </c>
      <c r="E159">
        <v>0.71899999999999997</v>
      </c>
      <c r="F159">
        <v>36.1</v>
      </c>
      <c r="G159">
        <v>45</v>
      </c>
      <c r="H159">
        <v>35.1</v>
      </c>
      <c r="I159">
        <v>28.1</v>
      </c>
      <c r="J159">
        <v>43.3</v>
      </c>
      <c r="K159">
        <f t="shared" si="4"/>
        <v>40.049999999999997</v>
      </c>
      <c r="L159" t="str">
        <f t="shared" si="5"/>
        <v>P</v>
      </c>
    </row>
    <row r="160" spans="1:12" x14ac:dyDescent="0.35">
      <c r="A160" t="s">
        <v>10</v>
      </c>
      <c r="B160" t="s">
        <v>134</v>
      </c>
      <c r="C160" t="s">
        <v>139</v>
      </c>
      <c r="D160">
        <v>771</v>
      </c>
      <c r="E160">
        <v>0.69799999999999995</v>
      </c>
      <c r="F160">
        <v>36.700000000000003</v>
      </c>
      <c r="G160">
        <v>41.2</v>
      </c>
      <c r="H160">
        <v>36.6</v>
      </c>
      <c r="I160">
        <v>32.299999999999997</v>
      </c>
      <c r="J160">
        <v>39.9</v>
      </c>
      <c r="K160">
        <f t="shared" si="4"/>
        <v>38.900000000000006</v>
      </c>
      <c r="L160" t="str">
        <f t="shared" si="5"/>
        <v>M</v>
      </c>
    </row>
    <row r="161" spans="1:12" x14ac:dyDescent="0.35">
      <c r="A161" t="s">
        <v>10</v>
      </c>
      <c r="B161" t="s">
        <v>134</v>
      </c>
      <c r="C161" t="s">
        <v>140</v>
      </c>
      <c r="D161">
        <v>195</v>
      </c>
      <c r="E161">
        <v>0.68</v>
      </c>
      <c r="F161">
        <v>31.8</v>
      </c>
      <c r="G161">
        <v>26.2</v>
      </c>
      <c r="H161">
        <v>30.8</v>
      </c>
      <c r="I161">
        <v>38.5</v>
      </c>
      <c r="J161">
        <v>45.4</v>
      </c>
      <c r="K161">
        <f t="shared" si="4"/>
        <v>28.5</v>
      </c>
      <c r="L161" t="str">
        <f t="shared" si="5"/>
        <v>SH</v>
      </c>
    </row>
    <row r="162" spans="1:12" x14ac:dyDescent="0.35">
      <c r="A162" t="s">
        <v>10</v>
      </c>
      <c r="B162" t="s">
        <v>134</v>
      </c>
      <c r="C162" t="s">
        <v>141</v>
      </c>
      <c r="D162">
        <v>894</v>
      </c>
      <c r="E162">
        <v>0.751</v>
      </c>
      <c r="F162">
        <v>41.7</v>
      </c>
      <c r="G162">
        <v>34.200000000000003</v>
      </c>
      <c r="H162">
        <v>48</v>
      </c>
      <c r="I162">
        <v>43</v>
      </c>
      <c r="J162">
        <v>48.9</v>
      </c>
      <c r="K162">
        <f t="shared" si="4"/>
        <v>41.1</v>
      </c>
      <c r="L162" t="str">
        <f t="shared" si="5"/>
        <v>G</v>
      </c>
    </row>
    <row r="163" spans="1:12" x14ac:dyDescent="0.35">
      <c r="A163" t="s">
        <v>10</v>
      </c>
      <c r="B163" t="s">
        <v>134</v>
      </c>
      <c r="C163" t="s">
        <v>142</v>
      </c>
      <c r="D163">
        <v>1725</v>
      </c>
      <c r="E163">
        <v>0.69099999999999995</v>
      </c>
      <c r="F163">
        <v>35.700000000000003</v>
      </c>
      <c r="G163">
        <v>37.6</v>
      </c>
      <c r="H163">
        <v>37.700000000000003</v>
      </c>
      <c r="I163">
        <v>31.7</v>
      </c>
      <c r="J163">
        <v>44.4</v>
      </c>
      <c r="K163">
        <f t="shared" si="4"/>
        <v>37.650000000000006</v>
      </c>
      <c r="L163" t="str">
        <f t="shared" si="5"/>
        <v>F</v>
      </c>
    </row>
    <row r="164" spans="1:12" x14ac:dyDescent="0.35">
      <c r="A164" t="s">
        <v>10</v>
      </c>
      <c r="B164" t="s">
        <v>134</v>
      </c>
      <c r="C164" t="s">
        <v>143</v>
      </c>
      <c r="D164">
        <v>585</v>
      </c>
      <c r="E164">
        <v>0.72799999999999998</v>
      </c>
      <c r="F164">
        <v>36.6</v>
      </c>
      <c r="G164">
        <v>39.5</v>
      </c>
      <c r="H164">
        <v>34.9</v>
      </c>
      <c r="I164">
        <v>35.4</v>
      </c>
      <c r="J164">
        <v>48.3</v>
      </c>
      <c r="K164">
        <f t="shared" si="4"/>
        <v>37.200000000000003</v>
      </c>
      <c r="L164" t="str">
        <f t="shared" si="5"/>
        <v>M2-1</v>
      </c>
    </row>
    <row r="165" spans="1:12" x14ac:dyDescent="0.35">
      <c r="A165" t="s">
        <v>10</v>
      </c>
      <c r="B165" t="s">
        <v>134</v>
      </c>
      <c r="C165" t="s">
        <v>144</v>
      </c>
      <c r="D165">
        <v>267</v>
      </c>
      <c r="E165">
        <v>0.64200000000000002</v>
      </c>
      <c r="F165">
        <v>30</v>
      </c>
      <c r="G165">
        <v>36</v>
      </c>
      <c r="H165">
        <v>28.1</v>
      </c>
      <c r="I165">
        <v>25.8</v>
      </c>
      <c r="J165">
        <v>44.4</v>
      </c>
      <c r="K165">
        <f t="shared" si="4"/>
        <v>32.049999999999997</v>
      </c>
      <c r="L165" t="str">
        <f t="shared" si="5"/>
        <v>M2-2</v>
      </c>
    </row>
    <row r="166" spans="1:12" x14ac:dyDescent="0.35">
      <c r="A166" t="s">
        <v>10</v>
      </c>
      <c r="B166" t="s">
        <v>134</v>
      </c>
      <c r="C166" t="s">
        <v>145</v>
      </c>
      <c r="D166">
        <v>6498</v>
      </c>
      <c r="E166">
        <v>0.69299999999999995</v>
      </c>
      <c r="F166">
        <v>30.6</v>
      </c>
      <c r="G166">
        <v>35.799999999999997</v>
      </c>
      <c r="H166">
        <v>30.8</v>
      </c>
      <c r="I166">
        <v>25.2</v>
      </c>
      <c r="J166">
        <v>41.3</v>
      </c>
      <c r="K166">
        <f t="shared" si="4"/>
        <v>33.299999999999997</v>
      </c>
      <c r="L166" t="str">
        <f t="shared" si="5"/>
        <v>L</v>
      </c>
    </row>
    <row r="167" spans="1:12" x14ac:dyDescent="0.35">
      <c r="A167" t="s">
        <v>10</v>
      </c>
      <c r="B167" t="s">
        <v>146</v>
      </c>
      <c r="C167" t="s">
        <v>147</v>
      </c>
      <c r="D167">
        <v>420</v>
      </c>
      <c r="E167">
        <v>0.70099999999999996</v>
      </c>
      <c r="F167">
        <v>30.7</v>
      </c>
      <c r="G167">
        <v>35</v>
      </c>
      <c r="H167">
        <v>29.3</v>
      </c>
      <c r="I167">
        <v>27.9</v>
      </c>
      <c r="J167">
        <v>49.7</v>
      </c>
      <c r="K167">
        <f t="shared" si="4"/>
        <v>32.15</v>
      </c>
      <c r="L167" t="str">
        <f t="shared" si="5"/>
        <v>NS1</v>
      </c>
    </row>
    <row r="168" spans="1:12" x14ac:dyDescent="0.35">
      <c r="A168" t="s">
        <v>10</v>
      </c>
      <c r="B168" t="s">
        <v>146</v>
      </c>
      <c r="C168" t="s">
        <v>148</v>
      </c>
      <c r="D168">
        <v>375</v>
      </c>
      <c r="E168">
        <v>0.74399999999999999</v>
      </c>
      <c r="F168">
        <v>33.299999999999997</v>
      </c>
      <c r="G168">
        <v>34.4</v>
      </c>
      <c r="H168">
        <v>32</v>
      </c>
      <c r="I168">
        <v>33.6</v>
      </c>
      <c r="J168">
        <v>39.9</v>
      </c>
      <c r="K168">
        <f t="shared" si="4"/>
        <v>33.200000000000003</v>
      </c>
      <c r="L168" t="str">
        <f t="shared" si="5"/>
        <v>NS2</v>
      </c>
    </row>
    <row r="169" spans="1:12" x14ac:dyDescent="0.35">
      <c r="A169" t="s">
        <v>10</v>
      </c>
      <c r="B169" t="s">
        <v>146</v>
      </c>
      <c r="C169" t="s">
        <v>149</v>
      </c>
      <c r="D169">
        <v>1176</v>
      </c>
      <c r="E169">
        <v>0.70099999999999996</v>
      </c>
      <c r="F169">
        <v>36.6</v>
      </c>
      <c r="G169">
        <v>47.7</v>
      </c>
      <c r="H169">
        <v>33.9</v>
      </c>
      <c r="I169">
        <v>28.1</v>
      </c>
      <c r="J169">
        <v>45.2</v>
      </c>
      <c r="K169">
        <f t="shared" si="4"/>
        <v>40.799999999999997</v>
      </c>
      <c r="L169" t="str">
        <f t="shared" si="5"/>
        <v>N</v>
      </c>
    </row>
    <row r="170" spans="1:12" x14ac:dyDescent="0.35">
      <c r="A170" t="s">
        <v>10</v>
      </c>
      <c r="B170" t="s">
        <v>146</v>
      </c>
      <c r="C170" t="s">
        <v>150</v>
      </c>
      <c r="D170">
        <v>726</v>
      </c>
      <c r="E170">
        <v>0.72</v>
      </c>
      <c r="F170">
        <v>35.4</v>
      </c>
      <c r="G170">
        <v>44.6</v>
      </c>
      <c r="H170">
        <v>34.700000000000003</v>
      </c>
      <c r="I170">
        <v>26.9</v>
      </c>
      <c r="J170">
        <v>43.2</v>
      </c>
      <c r="K170">
        <f t="shared" si="4"/>
        <v>39.650000000000006</v>
      </c>
      <c r="L170" t="str">
        <f t="shared" si="5"/>
        <v>P</v>
      </c>
    </row>
    <row r="171" spans="1:12" x14ac:dyDescent="0.35">
      <c r="A171" t="s">
        <v>10</v>
      </c>
      <c r="B171" t="s">
        <v>146</v>
      </c>
      <c r="C171" t="s">
        <v>151</v>
      </c>
      <c r="D171">
        <v>771</v>
      </c>
      <c r="E171">
        <v>0.69199999999999995</v>
      </c>
      <c r="F171">
        <v>36.4</v>
      </c>
      <c r="G171">
        <v>41.2</v>
      </c>
      <c r="H171">
        <v>36.200000000000003</v>
      </c>
      <c r="I171">
        <v>31.9</v>
      </c>
      <c r="J171">
        <v>39</v>
      </c>
      <c r="K171">
        <f t="shared" si="4"/>
        <v>38.700000000000003</v>
      </c>
      <c r="L171" t="str">
        <f t="shared" si="5"/>
        <v>M</v>
      </c>
    </row>
    <row r="172" spans="1:12" x14ac:dyDescent="0.35">
      <c r="A172" t="s">
        <v>10</v>
      </c>
      <c r="B172" t="s">
        <v>146</v>
      </c>
      <c r="C172" t="s">
        <v>152</v>
      </c>
      <c r="D172">
        <v>195</v>
      </c>
      <c r="E172">
        <v>0.69399999999999995</v>
      </c>
      <c r="F172">
        <v>32.299999999999997</v>
      </c>
      <c r="G172">
        <v>24.6</v>
      </c>
      <c r="H172">
        <v>30.8</v>
      </c>
      <c r="I172">
        <v>41.5</v>
      </c>
      <c r="J172">
        <v>58.2</v>
      </c>
      <c r="K172">
        <f t="shared" si="4"/>
        <v>27.700000000000003</v>
      </c>
      <c r="L172" t="str">
        <f t="shared" si="5"/>
        <v>SH</v>
      </c>
    </row>
    <row r="173" spans="1:12" x14ac:dyDescent="0.35">
      <c r="A173" t="s">
        <v>10</v>
      </c>
      <c r="B173" t="s">
        <v>146</v>
      </c>
      <c r="C173" t="s">
        <v>153</v>
      </c>
      <c r="D173">
        <v>894</v>
      </c>
      <c r="E173">
        <v>0.75</v>
      </c>
      <c r="F173">
        <v>42.2</v>
      </c>
      <c r="G173">
        <v>33.200000000000003</v>
      </c>
      <c r="H173">
        <v>48</v>
      </c>
      <c r="I173">
        <v>45.3</v>
      </c>
      <c r="J173">
        <v>49.9</v>
      </c>
      <c r="K173">
        <f t="shared" si="4"/>
        <v>40.6</v>
      </c>
      <c r="L173" t="str">
        <f t="shared" si="5"/>
        <v>G</v>
      </c>
    </row>
    <row r="174" spans="1:12" x14ac:dyDescent="0.35">
      <c r="A174" t="s">
        <v>10</v>
      </c>
      <c r="B174" t="s">
        <v>146</v>
      </c>
      <c r="C174" t="s">
        <v>154</v>
      </c>
      <c r="D174">
        <v>1725</v>
      </c>
      <c r="E174">
        <v>0.69199999999999995</v>
      </c>
      <c r="F174">
        <v>35.1</v>
      </c>
      <c r="G174">
        <v>37.200000000000003</v>
      </c>
      <c r="H174">
        <v>37.200000000000003</v>
      </c>
      <c r="I174">
        <v>31</v>
      </c>
      <c r="J174">
        <v>46.4</v>
      </c>
      <c r="K174">
        <f t="shared" si="4"/>
        <v>37.200000000000003</v>
      </c>
      <c r="L174" t="str">
        <f t="shared" si="5"/>
        <v>F</v>
      </c>
    </row>
    <row r="175" spans="1:12" x14ac:dyDescent="0.35">
      <c r="A175" t="s">
        <v>10</v>
      </c>
      <c r="B175" t="s">
        <v>146</v>
      </c>
      <c r="C175" t="s">
        <v>155</v>
      </c>
      <c r="D175">
        <v>585</v>
      </c>
      <c r="E175">
        <v>0.73099999999999998</v>
      </c>
      <c r="F175">
        <v>36.6</v>
      </c>
      <c r="G175">
        <v>39</v>
      </c>
      <c r="H175">
        <v>34.9</v>
      </c>
      <c r="I175">
        <v>35.9</v>
      </c>
      <c r="J175">
        <v>48.7</v>
      </c>
      <c r="K175">
        <f t="shared" si="4"/>
        <v>36.950000000000003</v>
      </c>
      <c r="L175" t="str">
        <f t="shared" si="5"/>
        <v>M2-1</v>
      </c>
    </row>
    <row r="176" spans="1:12" x14ac:dyDescent="0.35">
      <c r="A176" t="s">
        <v>10</v>
      </c>
      <c r="B176" t="s">
        <v>146</v>
      </c>
      <c r="C176" t="s">
        <v>156</v>
      </c>
      <c r="D176">
        <v>267</v>
      </c>
      <c r="E176">
        <v>0.63900000000000001</v>
      </c>
      <c r="F176">
        <v>28.8</v>
      </c>
      <c r="G176">
        <v>37.1</v>
      </c>
      <c r="H176">
        <v>27</v>
      </c>
      <c r="I176">
        <v>22.5</v>
      </c>
      <c r="J176">
        <v>41.6</v>
      </c>
      <c r="K176">
        <f t="shared" si="4"/>
        <v>32.049999999999997</v>
      </c>
      <c r="L176" t="str">
        <f t="shared" si="5"/>
        <v>M2-2</v>
      </c>
    </row>
    <row r="177" spans="1:12" x14ac:dyDescent="0.35">
      <c r="A177" t="s">
        <v>10</v>
      </c>
      <c r="B177" t="s">
        <v>146</v>
      </c>
      <c r="C177" t="s">
        <v>157</v>
      </c>
      <c r="D177">
        <v>6498</v>
      </c>
      <c r="E177">
        <v>0.69099999999999995</v>
      </c>
      <c r="F177">
        <v>30.9</v>
      </c>
      <c r="G177">
        <v>35.9</v>
      </c>
      <c r="H177">
        <v>31</v>
      </c>
      <c r="I177">
        <v>25.8</v>
      </c>
      <c r="J177">
        <v>41.6</v>
      </c>
      <c r="K177">
        <f t="shared" si="4"/>
        <v>33.450000000000003</v>
      </c>
      <c r="L177" t="str">
        <f t="shared" si="5"/>
        <v>L</v>
      </c>
    </row>
    <row r="178" spans="1:12" x14ac:dyDescent="0.35">
      <c r="A178" t="s">
        <v>10</v>
      </c>
      <c r="B178" t="s">
        <v>158</v>
      </c>
      <c r="C178" t="s">
        <v>125</v>
      </c>
      <c r="D178">
        <v>420</v>
      </c>
      <c r="E178">
        <v>0.70599999999999996</v>
      </c>
      <c r="F178">
        <v>30.5</v>
      </c>
      <c r="G178">
        <v>35</v>
      </c>
      <c r="H178">
        <v>29.3</v>
      </c>
      <c r="I178">
        <v>27.1</v>
      </c>
      <c r="J178">
        <v>48.1</v>
      </c>
      <c r="K178">
        <f t="shared" si="4"/>
        <v>32.15</v>
      </c>
      <c r="L178" t="str">
        <f t="shared" si="5"/>
        <v>NS1</v>
      </c>
    </row>
    <row r="179" spans="1:12" x14ac:dyDescent="0.35">
      <c r="A179" t="s">
        <v>10</v>
      </c>
      <c r="B179" t="s">
        <v>158</v>
      </c>
      <c r="C179" t="s">
        <v>112</v>
      </c>
      <c r="D179">
        <v>375</v>
      </c>
      <c r="E179">
        <v>0.75800000000000001</v>
      </c>
      <c r="F179">
        <v>34.1</v>
      </c>
      <c r="G179">
        <v>34.4</v>
      </c>
      <c r="H179">
        <v>32</v>
      </c>
      <c r="I179">
        <v>36</v>
      </c>
      <c r="J179">
        <v>41.8</v>
      </c>
      <c r="K179">
        <f t="shared" si="4"/>
        <v>33.200000000000003</v>
      </c>
      <c r="L179" t="str">
        <f t="shared" si="5"/>
        <v>NS2</v>
      </c>
    </row>
    <row r="180" spans="1:12" x14ac:dyDescent="0.35">
      <c r="A180" t="s">
        <v>10</v>
      </c>
      <c r="B180" t="s">
        <v>158</v>
      </c>
      <c r="C180" t="s">
        <v>159</v>
      </c>
      <c r="D180">
        <v>1176</v>
      </c>
      <c r="E180">
        <v>0.70299999999999996</v>
      </c>
      <c r="F180">
        <v>36.799999999999997</v>
      </c>
      <c r="G180">
        <v>47.7</v>
      </c>
      <c r="H180">
        <v>33.9</v>
      </c>
      <c r="I180">
        <v>28.8</v>
      </c>
      <c r="J180">
        <v>45.7</v>
      </c>
      <c r="K180">
        <f t="shared" si="4"/>
        <v>40.799999999999997</v>
      </c>
      <c r="L180" t="str">
        <f t="shared" si="5"/>
        <v>N</v>
      </c>
    </row>
    <row r="181" spans="1:12" x14ac:dyDescent="0.35">
      <c r="A181" t="s">
        <v>10</v>
      </c>
      <c r="B181" t="s">
        <v>158</v>
      </c>
      <c r="C181" t="s">
        <v>114</v>
      </c>
      <c r="D181">
        <v>726</v>
      </c>
      <c r="E181">
        <v>0.71899999999999997</v>
      </c>
      <c r="F181">
        <v>36</v>
      </c>
      <c r="G181">
        <v>44.6</v>
      </c>
      <c r="H181">
        <v>34.700000000000003</v>
      </c>
      <c r="I181">
        <v>28.5</v>
      </c>
      <c r="J181">
        <v>44.4</v>
      </c>
      <c r="K181">
        <f t="shared" si="4"/>
        <v>39.650000000000006</v>
      </c>
      <c r="L181" t="str">
        <f t="shared" si="5"/>
        <v>P</v>
      </c>
    </row>
    <row r="182" spans="1:12" x14ac:dyDescent="0.35">
      <c r="A182" t="s">
        <v>10</v>
      </c>
      <c r="B182" t="s">
        <v>158</v>
      </c>
      <c r="C182" t="s">
        <v>160</v>
      </c>
      <c r="D182">
        <v>771</v>
      </c>
      <c r="E182">
        <v>0.68700000000000006</v>
      </c>
      <c r="F182">
        <v>36.200000000000003</v>
      </c>
      <c r="G182">
        <v>41.2</v>
      </c>
      <c r="H182">
        <v>36.200000000000003</v>
      </c>
      <c r="I182">
        <v>31.1</v>
      </c>
      <c r="J182">
        <v>38.700000000000003</v>
      </c>
      <c r="K182">
        <f t="shared" si="4"/>
        <v>38.700000000000003</v>
      </c>
      <c r="L182" t="str">
        <f t="shared" si="5"/>
        <v>M</v>
      </c>
    </row>
    <row r="183" spans="1:12" x14ac:dyDescent="0.35">
      <c r="A183" t="s">
        <v>10</v>
      </c>
      <c r="B183" t="s">
        <v>158</v>
      </c>
      <c r="C183" t="s">
        <v>161</v>
      </c>
      <c r="D183">
        <v>195</v>
      </c>
      <c r="E183">
        <v>0.68799999999999994</v>
      </c>
      <c r="F183">
        <v>32.299999999999997</v>
      </c>
      <c r="G183">
        <v>26.2</v>
      </c>
      <c r="H183">
        <v>30.8</v>
      </c>
      <c r="I183">
        <v>40</v>
      </c>
      <c r="J183">
        <v>61</v>
      </c>
      <c r="K183">
        <f t="shared" si="4"/>
        <v>28.5</v>
      </c>
      <c r="L183" t="str">
        <f t="shared" si="5"/>
        <v>SH</v>
      </c>
    </row>
    <row r="184" spans="1:12" x14ac:dyDescent="0.35">
      <c r="A184" t="s">
        <v>10</v>
      </c>
      <c r="B184" t="s">
        <v>158</v>
      </c>
      <c r="C184" t="s">
        <v>162</v>
      </c>
      <c r="D184">
        <v>966</v>
      </c>
      <c r="E184">
        <v>0.752</v>
      </c>
      <c r="F184">
        <v>43</v>
      </c>
      <c r="G184">
        <v>35.1</v>
      </c>
      <c r="H184">
        <v>48.8</v>
      </c>
      <c r="I184">
        <v>45</v>
      </c>
      <c r="J184">
        <v>54.2</v>
      </c>
      <c r="K184">
        <f t="shared" si="4"/>
        <v>41.95</v>
      </c>
      <c r="L184" t="str">
        <f t="shared" si="5"/>
        <v>G</v>
      </c>
    </row>
    <row r="185" spans="1:12" x14ac:dyDescent="0.35">
      <c r="A185" t="s">
        <v>10</v>
      </c>
      <c r="B185" t="s">
        <v>158</v>
      </c>
      <c r="C185" t="s">
        <v>163</v>
      </c>
      <c r="D185">
        <v>1725</v>
      </c>
      <c r="E185">
        <v>0.69099999999999995</v>
      </c>
      <c r="F185">
        <v>35.1</v>
      </c>
      <c r="G185">
        <v>37.200000000000003</v>
      </c>
      <c r="H185">
        <v>37.200000000000003</v>
      </c>
      <c r="I185">
        <v>31</v>
      </c>
      <c r="J185">
        <v>46.7</v>
      </c>
      <c r="K185">
        <f t="shared" si="4"/>
        <v>37.200000000000003</v>
      </c>
      <c r="L185" t="str">
        <f t="shared" si="5"/>
        <v>F</v>
      </c>
    </row>
    <row r="186" spans="1:12" x14ac:dyDescent="0.35">
      <c r="A186" t="s">
        <v>10</v>
      </c>
      <c r="B186" t="s">
        <v>158</v>
      </c>
      <c r="C186" t="s">
        <v>164</v>
      </c>
      <c r="D186">
        <v>585</v>
      </c>
      <c r="E186">
        <v>0.73199999999999998</v>
      </c>
      <c r="F186">
        <v>36.6</v>
      </c>
      <c r="G186">
        <v>39</v>
      </c>
      <c r="H186">
        <v>34.9</v>
      </c>
      <c r="I186">
        <v>35.9</v>
      </c>
      <c r="J186">
        <v>49.6</v>
      </c>
      <c r="K186">
        <f t="shared" si="4"/>
        <v>36.950000000000003</v>
      </c>
      <c r="L186" t="str">
        <f t="shared" si="5"/>
        <v>M2-1</v>
      </c>
    </row>
    <row r="187" spans="1:12" x14ac:dyDescent="0.35">
      <c r="A187" t="s">
        <v>10</v>
      </c>
      <c r="B187" t="s">
        <v>158</v>
      </c>
      <c r="C187" t="s">
        <v>165</v>
      </c>
      <c r="D187">
        <v>267</v>
      </c>
      <c r="E187">
        <v>0.63700000000000001</v>
      </c>
      <c r="F187">
        <v>29.2</v>
      </c>
      <c r="G187">
        <v>37.1</v>
      </c>
      <c r="H187">
        <v>27</v>
      </c>
      <c r="I187">
        <v>23.6</v>
      </c>
      <c r="J187">
        <v>44.8</v>
      </c>
      <c r="K187">
        <f t="shared" si="4"/>
        <v>32.049999999999997</v>
      </c>
      <c r="L187" t="str">
        <f t="shared" si="5"/>
        <v>M2-2</v>
      </c>
    </row>
    <row r="188" spans="1:12" x14ac:dyDescent="0.35">
      <c r="A188" t="s">
        <v>10</v>
      </c>
      <c r="B188" t="s">
        <v>158</v>
      </c>
      <c r="C188" t="s">
        <v>166</v>
      </c>
      <c r="D188">
        <v>6498</v>
      </c>
      <c r="E188">
        <v>0.69099999999999995</v>
      </c>
      <c r="F188">
        <v>30.7</v>
      </c>
      <c r="G188">
        <v>35.9</v>
      </c>
      <c r="H188">
        <v>30.9</v>
      </c>
      <c r="I188">
        <v>25.3</v>
      </c>
      <c r="J188">
        <v>41.1</v>
      </c>
      <c r="K188">
        <f t="shared" si="4"/>
        <v>33.4</v>
      </c>
      <c r="L188" t="str">
        <f t="shared" si="5"/>
        <v>L</v>
      </c>
    </row>
    <row r="189" spans="1:12" x14ac:dyDescent="0.35">
      <c r="A189" t="s">
        <v>10</v>
      </c>
      <c r="B189" t="s">
        <v>167</v>
      </c>
      <c r="C189" t="s">
        <v>36</v>
      </c>
      <c r="D189">
        <v>420</v>
      </c>
      <c r="E189">
        <v>0.70699999999999996</v>
      </c>
      <c r="F189">
        <v>30.7</v>
      </c>
      <c r="G189">
        <v>35</v>
      </c>
      <c r="H189">
        <v>29.3</v>
      </c>
      <c r="I189">
        <v>27.9</v>
      </c>
      <c r="J189">
        <v>48.6</v>
      </c>
      <c r="K189">
        <f t="shared" si="4"/>
        <v>32.15</v>
      </c>
      <c r="L189" t="str">
        <f t="shared" si="5"/>
        <v>NS1</v>
      </c>
    </row>
    <row r="190" spans="1:12" x14ac:dyDescent="0.35">
      <c r="A190" t="s">
        <v>10</v>
      </c>
      <c r="B190" t="s">
        <v>167</v>
      </c>
      <c r="C190" t="s">
        <v>37</v>
      </c>
      <c r="D190">
        <v>375</v>
      </c>
      <c r="E190">
        <v>0.76</v>
      </c>
      <c r="F190">
        <v>34.700000000000003</v>
      </c>
      <c r="G190">
        <v>34.4</v>
      </c>
      <c r="H190">
        <v>32</v>
      </c>
      <c r="I190">
        <v>37.6</v>
      </c>
      <c r="J190">
        <v>42.8</v>
      </c>
      <c r="K190">
        <f t="shared" si="4"/>
        <v>33.200000000000003</v>
      </c>
      <c r="L190" t="str">
        <f t="shared" si="5"/>
        <v>NS2</v>
      </c>
    </row>
    <row r="191" spans="1:12" x14ac:dyDescent="0.35">
      <c r="A191" t="s">
        <v>10</v>
      </c>
      <c r="B191" t="s">
        <v>167</v>
      </c>
      <c r="C191" t="s">
        <v>38</v>
      </c>
      <c r="D191">
        <v>1176</v>
      </c>
      <c r="E191">
        <v>0.70199999999999996</v>
      </c>
      <c r="F191">
        <v>37</v>
      </c>
      <c r="G191">
        <v>47.7</v>
      </c>
      <c r="H191">
        <v>33.9</v>
      </c>
      <c r="I191">
        <v>29.3</v>
      </c>
      <c r="J191">
        <v>47.9</v>
      </c>
      <c r="K191">
        <f t="shared" si="4"/>
        <v>40.799999999999997</v>
      </c>
      <c r="L191" t="str">
        <f t="shared" si="5"/>
        <v>N</v>
      </c>
    </row>
    <row r="192" spans="1:12" x14ac:dyDescent="0.35">
      <c r="A192" t="s">
        <v>10</v>
      </c>
      <c r="B192" t="s">
        <v>167</v>
      </c>
      <c r="C192" t="s">
        <v>39</v>
      </c>
      <c r="D192">
        <v>726</v>
      </c>
      <c r="E192">
        <v>0.71199999999999997</v>
      </c>
      <c r="F192">
        <v>35.4</v>
      </c>
      <c r="G192">
        <v>44.6</v>
      </c>
      <c r="H192">
        <v>34.700000000000003</v>
      </c>
      <c r="I192">
        <v>26.9</v>
      </c>
      <c r="J192">
        <v>44.9</v>
      </c>
      <c r="K192">
        <f t="shared" si="4"/>
        <v>39.650000000000006</v>
      </c>
      <c r="L192" t="str">
        <f t="shared" si="5"/>
        <v>P</v>
      </c>
    </row>
    <row r="193" spans="1:12" x14ac:dyDescent="0.35">
      <c r="A193" t="s">
        <v>10</v>
      </c>
      <c r="B193" t="s">
        <v>167</v>
      </c>
      <c r="C193" t="s">
        <v>168</v>
      </c>
      <c r="D193">
        <v>771</v>
      </c>
      <c r="E193">
        <v>0.69799999999999995</v>
      </c>
      <c r="F193">
        <v>36.700000000000003</v>
      </c>
      <c r="G193">
        <v>41.6</v>
      </c>
      <c r="H193">
        <v>36.200000000000003</v>
      </c>
      <c r="I193">
        <v>32.299999999999997</v>
      </c>
      <c r="J193">
        <v>40.200000000000003</v>
      </c>
      <c r="K193">
        <f t="shared" si="4"/>
        <v>38.900000000000006</v>
      </c>
      <c r="L193" t="str">
        <f t="shared" si="5"/>
        <v>M</v>
      </c>
    </row>
    <row r="194" spans="1:12" x14ac:dyDescent="0.35">
      <c r="A194" t="s">
        <v>10</v>
      </c>
      <c r="B194" t="s">
        <v>167</v>
      </c>
      <c r="C194" t="s">
        <v>169</v>
      </c>
      <c r="D194">
        <v>195</v>
      </c>
      <c r="E194">
        <v>0.67800000000000005</v>
      </c>
      <c r="F194">
        <v>31.3</v>
      </c>
      <c r="G194">
        <v>26.2</v>
      </c>
      <c r="H194">
        <v>30.8</v>
      </c>
      <c r="I194">
        <v>36.9</v>
      </c>
      <c r="J194">
        <v>45.4</v>
      </c>
      <c r="K194">
        <f t="shared" si="4"/>
        <v>28.5</v>
      </c>
      <c r="L194" t="str">
        <f t="shared" si="5"/>
        <v>SH</v>
      </c>
    </row>
    <row r="195" spans="1:12" x14ac:dyDescent="0.35">
      <c r="A195" t="s">
        <v>10</v>
      </c>
      <c r="B195" t="s">
        <v>167</v>
      </c>
      <c r="C195" t="s">
        <v>170</v>
      </c>
      <c r="D195">
        <v>966</v>
      </c>
      <c r="E195">
        <v>0.753</v>
      </c>
      <c r="F195">
        <v>42.7</v>
      </c>
      <c r="G195">
        <v>35.1</v>
      </c>
      <c r="H195">
        <v>48.1</v>
      </c>
      <c r="I195">
        <v>44.7</v>
      </c>
      <c r="J195">
        <v>48.9</v>
      </c>
      <c r="K195">
        <f t="shared" ref="K195:K258" si="6">(G195+H195)/2</f>
        <v>41.6</v>
      </c>
      <c r="L195" t="str">
        <f t="shared" ref="L195:L258" si="7">IF(ISNUMBER(SEARCH("M2-1",C195)),"M2-1",IF(ISNUMBER(SEARCH("M2-2",C195)),"M2-2",IF(LEFT(C195,3)="NS1","NS1",IF(LEFT(C195,3)="NS2","NS2",IF(LEFT(C195,2)="N_","N",IF(LEFT(C195,2)="P_","P",IF(LEFT(C195,2)="M_","M",IF(LEFT(C195,2)="SH","SH",IF(LEFT(C195,2)="G_","G",IF(LEFT(C195,2)="F_","F",IF(LEFT(C195,2)="L_","L","UNKNOWN")))))))))))</f>
        <v>G</v>
      </c>
    </row>
    <row r="196" spans="1:12" x14ac:dyDescent="0.35">
      <c r="A196" t="s">
        <v>10</v>
      </c>
      <c r="B196" t="s">
        <v>167</v>
      </c>
      <c r="C196" t="s">
        <v>171</v>
      </c>
      <c r="D196">
        <v>1725</v>
      </c>
      <c r="E196">
        <v>0.68899999999999995</v>
      </c>
      <c r="F196">
        <v>35.200000000000003</v>
      </c>
      <c r="G196">
        <v>37.4</v>
      </c>
      <c r="H196">
        <v>37.4</v>
      </c>
      <c r="I196">
        <v>30.8</v>
      </c>
      <c r="J196">
        <v>47.5</v>
      </c>
      <c r="K196">
        <f t="shared" si="6"/>
        <v>37.4</v>
      </c>
      <c r="L196" t="str">
        <f t="shared" si="7"/>
        <v>F</v>
      </c>
    </row>
    <row r="197" spans="1:12" x14ac:dyDescent="0.35">
      <c r="A197" t="s">
        <v>10</v>
      </c>
      <c r="B197" t="s">
        <v>167</v>
      </c>
      <c r="C197" t="s">
        <v>172</v>
      </c>
      <c r="D197">
        <v>585</v>
      </c>
      <c r="E197">
        <v>0.73099999999999998</v>
      </c>
      <c r="F197">
        <v>36.4</v>
      </c>
      <c r="G197">
        <v>39.5</v>
      </c>
      <c r="H197">
        <v>34.9</v>
      </c>
      <c r="I197">
        <v>34.9</v>
      </c>
      <c r="J197">
        <v>48.9</v>
      </c>
      <c r="K197">
        <f t="shared" si="6"/>
        <v>37.200000000000003</v>
      </c>
      <c r="L197" t="str">
        <f t="shared" si="7"/>
        <v>M2-1</v>
      </c>
    </row>
    <row r="198" spans="1:12" x14ac:dyDescent="0.35">
      <c r="A198" t="s">
        <v>10</v>
      </c>
      <c r="B198" t="s">
        <v>167</v>
      </c>
      <c r="C198" t="s">
        <v>173</v>
      </c>
      <c r="D198">
        <v>267</v>
      </c>
      <c r="E198">
        <v>0.63700000000000001</v>
      </c>
      <c r="F198">
        <v>28.5</v>
      </c>
      <c r="G198">
        <v>36</v>
      </c>
      <c r="H198">
        <v>25.8</v>
      </c>
      <c r="I198">
        <v>23.6</v>
      </c>
      <c r="J198">
        <v>44.6</v>
      </c>
      <c r="K198">
        <f t="shared" si="6"/>
        <v>30.9</v>
      </c>
      <c r="L198" t="str">
        <f t="shared" si="7"/>
        <v>M2-2</v>
      </c>
    </row>
    <row r="199" spans="1:12" x14ac:dyDescent="0.35">
      <c r="A199" t="s">
        <v>10</v>
      </c>
      <c r="B199" t="s">
        <v>167</v>
      </c>
      <c r="C199" t="s">
        <v>174</v>
      </c>
      <c r="D199">
        <v>6501</v>
      </c>
      <c r="E199">
        <v>0.69099999999999995</v>
      </c>
      <c r="F199">
        <v>30.7</v>
      </c>
      <c r="G199">
        <v>36</v>
      </c>
      <c r="H199">
        <v>31</v>
      </c>
      <c r="I199">
        <v>25</v>
      </c>
      <c r="J199">
        <v>41</v>
      </c>
      <c r="K199">
        <f t="shared" si="6"/>
        <v>33.5</v>
      </c>
      <c r="L199" t="str">
        <f t="shared" si="7"/>
        <v>L</v>
      </c>
    </row>
    <row r="200" spans="1:12" x14ac:dyDescent="0.35">
      <c r="A200" t="s">
        <v>175</v>
      </c>
      <c r="B200" t="s">
        <v>11</v>
      </c>
      <c r="C200" t="s">
        <v>176</v>
      </c>
      <c r="D200">
        <v>420</v>
      </c>
      <c r="E200">
        <v>0.68300000000000005</v>
      </c>
      <c r="F200">
        <v>30.2</v>
      </c>
      <c r="G200">
        <v>36.4</v>
      </c>
      <c r="H200">
        <v>30</v>
      </c>
      <c r="I200">
        <v>24.3</v>
      </c>
      <c r="J200">
        <v>37.799999999999997</v>
      </c>
      <c r="K200">
        <f t="shared" si="6"/>
        <v>33.200000000000003</v>
      </c>
      <c r="L200" t="str">
        <f t="shared" si="7"/>
        <v>NS1</v>
      </c>
    </row>
    <row r="201" spans="1:12" x14ac:dyDescent="0.35">
      <c r="A201" t="s">
        <v>175</v>
      </c>
      <c r="B201" t="s">
        <v>11</v>
      </c>
      <c r="C201" t="s">
        <v>177</v>
      </c>
      <c r="D201">
        <v>375</v>
      </c>
      <c r="E201">
        <v>0.73499999999999999</v>
      </c>
      <c r="F201">
        <v>34.9</v>
      </c>
      <c r="G201">
        <v>31.2</v>
      </c>
      <c r="H201">
        <v>31.2</v>
      </c>
      <c r="I201">
        <v>42.4</v>
      </c>
      <c r="J201">
        <v>37.1</v>
      </c>
      <c r="K201">
        <f t="shared" si="6"/>
        <v>31.2</v>
      </c>
      <c r="L201" t="str">
        <f t="shared" si="7"/>
        <v>NS2</v>
      </c>
    </row>
    <row r="202" spans="1:12" x14ac:dyDescent="0.35">
      <c r="A202" t="s">
        <v>175</v>
      </c>
      <c r="B202" t="s">
        <v>11</v>
      </c>
      <c r="C202" t="s">
        <v>178</v>
      </c>
      <c r="D202">
        <v>1176</v>
      </c>
      <c r="E202">
        <v>0.67500000000000004</v>
      </c>
      <c r="F202">
        <v>37</v>
      </c>
      <c r="G202">
        <v>48.7</v>
      </c>
      <c r="H202">
        <v>33.4</v>
      </c>
      <c r="I202">
        <v>28.8</v>
      </c>
      <c r="J202">
        <v>44.5</v>
      </c>
      <c r="K202">
        <f t="shared" si="6"/>
        <v>41.05</v>
      </c>
      <c r="L202" t="str">
        <f t="shared" si="7"/>
        <v>N</v>
      </c>
    </row>
    <row r="203" spans="1:12" x14ac:dyDescent="0.35">
      <c r="A203" t="s">
        <v>175</v>
      </c>
      <c r="B203" t="s">
        <v>11</v>
      </c>
      <c r="C203" t="s">
        <v>179</v>
      </c>
      <c r="D203">
        <v>726</v>
      </c>
      <c r="E203">
        <v>0.73899999999999999</v>
      </c>
      <c r="F203">
        <v>37.5</v>
      </c>
      <c r="G203">
        <v>43.8</v>
      </c>
      <c r="H203">
        <v>36.4</v>
      </c>
      <c r="I203">
        <v>32.200000000000003</v>
      </c>
      <c r="J203">
        <v>46.5</v>
      </c>
      <c r="K203">
        <f t="shared" si="6"/>
        <v>40.099999999999994</v>
      </c>
      <c r="L203" t="str">
        <f t="shared" si="7"/>
        <v>P</v>
      </c>
    </row>
    <row r="204" spans="1:12" x14ac:dyDescent="0.35">
      <c r="A204" t="s">
        <v>175</v>
      </c>
      <c r="B204" t="s">
        <v>11</v>
      </c>
      <c r="C204" t="s">
        <v>94</v>
      </c>
      <c r="D204">
        <v>771</v>
      </c>
      <c r="E204">
        <v>0.70299999999999996</v>
      </c>
      <c r="F204">
        <v>37.4</v>
      </c>
      <c r="G204">
        <v>41.2</v>
      </c>
      <c r="H204">
        <v>37</v>
      </c>
      <c r="I204">
        <v>33.9</v>
      </c>
      <c r="J204">
        <v>49.4</v>
      </c>
      <c r="K204">
        <f t="shared" si="6"/>
        <v>39.1</v>
      </c>
      <c r="L204" t="str">
        <f t="shared" si="7"/>
        <v>M</v>
      </c>
    </row>
    <row r="205" spans="1:12" x14ac:dyDescent="0.35">
      <c r="A205" t="s">
        <v>175</v>
      </c>
      <c r="B205" t="s">
        <v>11</v>
      </c>
      <c r="C205" t="s">
        <v>180</v>
      </c>
      <c r="D205">
        <v>198</v>
      </c>
      <c r="E205">
        <v>0.65</v>
      </c>
      <c r="F205">
        <v>29.8</v>
      </c>
      <c r="G205">
        <v>28.8</v>
      </c>
      <c r="H205">
        <v>27.3</v>
      </c>
      <c r="I205">
        <v>33.299999999999997</v>
      </c>
      <c r="J205">
        <v>33.9</v>
      </c>
      <c r="K205">
        <f t="shared" si="6"/>
        <v>28.05</v>
      </c>
      <c r="L205" t="str">
        <f t="shared" si="7"/>
        <v>SH</v>
      </c>
    </row>
    <row r="206" spans="1:12" x14ac:dyDescent="0.35">
      <c r="A206" t="s">
        <v>175</v>
      </c>
      <c r="B206" t="s">
        <v>11</v>
      </c>
      <c r="C206" t="s">
        <v>181</v>
      </c>
      <c r="D206">
        <v>933</v>
      </c>
      <c r="E206">
        <v>0.749</v>
      </c>
      <c r="F206">
        <v>40.9</v>
      </c>
      <c r="G206">
        <v>36</v>
      </c>
      <c r="H206">
        <v>49.2</v>
      </c>
      <c r="I206">
        <v>37.6</v>
      </c>
      <c r="J206">
        <v>45.2</v>
      </c>
      <c r="K206">
        <f t="shared" si="6"/>
        <v>42.6</v>
      </c>
      <c r="L206" t="str">
        <f t="shared" si="7"/>
        <v>G</v>
      </c>
    </row>
    <row r="207" spans="1:12" x14ac:dyDescent="0.35">
      <c r="A207" t="s">
        <v>175</v>
      </c>
      <c r="B207" t="s">
        <v>11</v>
      </c>
      <c r="C207" t="s">
        <v>182</v>
      </c>
      <c r="D207">
        <v>1725</v>
      </c>
      <c r="E207">
        <v>0.69199999999999995</v>
      </c>
      <c r="F207">
        <v>34.700000000000003</v>
      </c>
      <c r="G207">
        <v>36.700000000000003</v>
      </c>
      <c r="H207">
        <v>36.5</v>
      </c>
      <c r="I207">
        <v>30.8</v>
      </c>
      <c r="J207">
        <v>48.3</v>
      </c>
      <c r="K207">
        <f t="shared" si="6"/>
        <v>36.6</v>
      </c>
      <c r="L207" t="str">
        <f t="shared" si="7"/>
        <v>F</v>
      </c>
    </row>
    <row r="208" spans="1:12" x14ac:dyDescent="0.35">
      <c r="A208" t="s">
        <v>175</v>
      </c>
      <c r="B208" t="s">
        <v>11</v>
      </c>
      <c r="C208" t="s">
        <v>183</v>
      </c>
      <c r="D208">
        <v>588</v>
      </c>
      <c r="E208">
        <v>0.73599999999999999</v>
      </c>
      <c r="F208">
        <v>36.4</v>
      </c>
      <c r="G208">
        <v>38.299999999999997</v>
      </c>
      <c r="H208">
        <v>34.200000000000003</v>
      </c>
      <c r="I208">
        <v>36.700000000000003</v>
      </c>
      <c r="J208">
        <v>45</v>
      </c>
      <c r="K208">
        <f t="shared" si="6"/>
        <v>36.25</v>
      </c>
      <c r="L208" t="str">
        <f t="shared" si="7"/>
        <v>M2-1</v>
      </c>
    </row>
    <row r="209" spans="1:12" x14ac:dyDescent="0.35">
      <c r="A209" t="s">
        <v>175</v>
      </c>
      <c r="B209" t="s">
        <v>11</v>
      </c>
      <c r="C209" t="s">
        <v>184</v>
      </c>
      <c r="D209">
        <v>273</v>
      </c>
      <c r="E209">
        <v>0.68799999999999994</v>
      </c>
      <c r="F209">
        <v>27.8</v>
      </c>
      <c r="G209">
        <v>33</v>
      </c>
      <c r="H209">
        <v>24.2</v>
      </c>
      <c r="I209">
        <v>26.4</v>
      </c>
      <c r="J209">
        <v>44.3</v>
      </c>
      <c r="K209">
        <f t="shared" si="6"/>
        <v>28.6</v>
      </c>
      <c r="L209" t="str">
        <f t="shared" si="7"/>
        <v>M2-2</v>
      </c>
    </row>
    <row r="210" spans="1:12" x14ac:dyDescent="0.35">
      <c r="A210" t="s">
        <v>175</v>
      </c>
      <c r="B210" t="s">
        <v>11</v>
      </c>
      <c r="C210" t="s">
        <v>185</v>
      </c>
      <c r="D210">
        <v>6501</v>
      </c>
      <c r="E210">
        <v>0.69599999999999995</v>
      </c>
      <c r="F210">
        <v>31.3</v>
      </c>
      <c r="G210">
        <v>36.5</v>
      </c>
      <c r="H210">
        <v>31.4</v>
      </c>
      <c r="I210">
        <v>25.9</v>
      </c>
      <c r="J210">
        <v>43</v>
      </c>
      <c r="K210">
        <f t="shared" si="6"/>
        <v>33.950000000000003</v>
      </c>
      <c r="L210" t="str">
        <f t="shared" si="7"/>
        <v>L</v>
      </c>
    </row>
    <row r="211" spans="1:12" x14ac:dyDescent="0.35">
      <c r="A211" t="s">
        <v>175</v>
      </c>
      <c r="B211" t="s">
        <v>23</v>
      </c>
      <c r="C211" t="s">
        <v>176</v>
      </c>
      <c r="D211">
        <v>420</v>
      </c>
      <c r="E211">
        <v>0.68200000000000005</v>
      </c>
      <c r="F211">
        <v>30.2</v>
      </c>
      <c r="G211">
        <v>36.4</v>
      </c>
      <c r="H211">
        <v>30</v>
      </c>
      <c r="I211">
        <v>24.3</v>
      </c>
      <c r="J211">
        <v>37.799999999999997</v>
      </c>
      <c r="K211">
        <f t="shared" si="6"/>
        <v>33.200000000000003</v>
      </c>
      <c r="L211" t="str">
        <f t="shared" si="7"/>
        <v>NS1</v>
      </c>
    </row>
    <row r="212" spans="1:12" x14ac:dyDescent="0.35">
      <c r="A212" t="s">
        <v>175</v>
      </c>
      <c r="B212" t="s">
        <v>23</v>
      </c>
      <c r="C212" t="s">
        <v>177</v>
      </c>
      <c r="D212">
        <v>375</v>
      </c>
      <c r="E212">
        <v>0.73899999999999999</v>
      </c>
      <c r="F212">
        <v>34.9</v>
      </c>
      <c r="G212">
        <v>31.2</v>
      </c>
      <c r="H212">
        <v>31.2</v>
      </c>
      <c r="I212">
        <v>42.4</v>
      </c>
      <c r="J212">
        <v>41.1</v>
      </c>
      <c r="K212">
        <f t="shared" si="6"/>
        <v>31.2</v>
      </c>
      <c r="L212" t="str">
        <f t="shared" si="7"/>
        <v>NS2</v>
      </c>
    </row>
    <row r="213" spans="1:12" x14ac:dyDescent="0.35">
      <c r="A213" t="s">
        <v>175</v>
      </c>
      <c r="B213" t="s">
        <v>23</v>
      </c>
      <c r="C213" t="s">
        <v>186</v>
      </c>
      <c r="D213">
        <v>1176</v>
      </c>
      <c r="E213">
        <v>0.67600000000000005</v>
      </c>
      <c r="F213">
        <v>37.200000000000003</v>
      </c>
      <c r="G213">
        <v>49.2</v>
      </c>
      <c r="H213">
        <v>33.4</v>
      </c>
      <c r="I213">
        <v>29.1</v>
      </c>
      <c r="J213">
        <v>44.5</v>
      </c>
      <c r="K213">
        <f t="shared" si="6"/>
        <v>41.3</v>
      </c>
      <c r="L213" t="str">
        <f t="shared" si="7"/>
        <v>N</v>
      </c>
    </row>
    <row r="214" spans="1:12" x14ac:dyDescent="0.35">
      <c r="A214" t="s">
        <v>175</v>
      </c>
      <c r="B214" t="s">
        <v>23</v>
      </c>
      <c r="C214" t="s">
        <v>179</v>
      </c>
      <c r="D214">
        <v>726</v>
      </c>
      <c r="E214">
        <v>0.73499999999999999</v>
      </c>
      <c r="F214">
        <v>37.700000000000003</v>
      </c>
      <c r="G214">
        <v>44.2</v>
      </c>
      <c r="H214">
        <v>36.4</v>
      </c>
      <c r="I214">
        <v>32.6</v>
      </c>
      <c r="J214">
        <v>46.1</v>
      </c>
      <c r="K214">
        <f t="shared" si="6"/>
        <v>40.299999999999997</v>
      </c>
      <c r="L214" t="str">
        <f t="shared" si="7"/>
        <v>P</v>
      </c>
    </row>
    <row r="215" spans="1:12" x14ac:dyDescent="0.35">
      <c r="A215" t="s">
        <v>175</v>
      </c>
      <c r="B215" t="s">
        <v>23</v>
      </c>
      <c r="C215" t="s">
        <v>187</v>
      </c>
      <c r="D215">
        <v>837</v>
      </c>
      <c r="E215">
        <v>0.70399999999999996</v>
      </c>
      <c r="F215">
        <v>36.799999999999997</v>
      </c>
      <c r="G215">
        <v>41.6</v>
      </c>
      <c r="H215">
        <v>35.5</v>
      </c>
      <c r="I215">
        <v>33.299999999999997</v>
      </c>
      <c r="J215">
        <v>50.1</v>
      </c>
      <c r="K215">
        <f t="shared" si="6"/>
        <v>38.549999999999997</v>
      </c>
      <c r="L215" t="str">
        <f t="shared" si="7"/>
        <v>M</v>
      </c>
    </row>
    <row r="216" spans="1:12" x14ac:dyDescent="0.35">
      <c r="A216" t="s">
        <v>175</v>
      </c>
      <c r="B216" t="s">
        <v>23</v>
      </c>
      <c r="C216" t="s">
        <v>180</v>
      </c>
      <c r="D216">
        <v>198</v>
      </c>
      <c r="E216">
        <v>0.65</v>
      </c>
      <c r="F216">
        <v>29.8</v>
      </c>
      <c r="G216">
        <v>28.8</v>
      </c>
      <c r="H216">
        <v>27.3</v>
      </c>
      <c r="I216">
        <v>33.299999999999997</v>
      </c>
      <c r="J216">
        <v>33.9</v>
      </c>
      <c r="K216">
        <f t="shared" si="6"/>
        <v>28.05</v>
      </c>
      <c r="L216" t="str">
        <f t="shared" si="7"/>
        <v>SH</v>
      </c>
    </row>
    <row r="217" spans="1:12" x14ac:dyDescent="0.35">
      <c r="A217" t="s">
        <v>175</v>
      </c>
      <c r="B217" t="s">
        <v>23</v>
      </c>
      <c r="C217" t="s">
        <v>181</v>
      </c>
      <c r="D217">
        <v>933</v>
      </c>
      <c r="E217">
        <v>0.745</v>
      </c>
      <c r="F217">
        <v>40</v>
      </c>
      <c r="G217">
        <v>34.700000000000003</v>
      </c>
      <c r="H217">
        <v>48.9</v>
      </c>
      <c r="I217">
        <v>36.299999999999997</v>
      </c>
      <c r="J217">
        <v>44.8</v>
      </c>
      <c r="K217">
        <f t="shared" si="6"/>
        <v>41.8</v>
      </c>
      <c r="L217" t="str">
        <f t="shared" si="7"/>
        <v>G</v>
      </c>
    </row>
    <row r="218" spans="1:12" x14ac:dyDescent="0.35">
      <c r="A218" t="s">
        <v>175</v>
      </c>
      <c r="B218" t="s">
        <v>23</v>
      </c>
      <c r="C218" t="s">
        <v>182</v>
      </c>
      <c r="D218">
        <v>1725</v>
      </c>
      <c r="E218">
        <v>0.69599999999999995</v>
      </c>
      <c r="F218">
        <v>34.700000000000003</v>
      </c>
      <c r="G218">
        <v>36.299999999999997</v>
      </c>
      <c r="H218">
        <v>36.9</v>
      </c>
      <c r="I218">
        <v>30.8</v>
      </c>
      <c r="J218">
        <v>48</v>
      </c>
      <c r="K218">
        <f t="shared" si="6"/>
        <v>36.599999999999994</v>
      </c>
      <c r="L218" t="str">
        <f t="shared" si="7"/>
        <v>F</v>
      </c>
    </row>
    <row r="219" spans="1:12" x14ac:dyDescent="0.35">
      <c r="A219" t="s">
        <v>175</v>
      </c>
      <c r="B219" t="s">
        <v>23</v>
      </c>
      <c r="C219" t="s">
        <v>188</v>
      </c>
      <c r="D219">
        <v>588</v>
      </c>
      <c r="E219">
        <v>0.73299999999999998</v>
      </c>
      <c r="F219">
        <v>36.1</v>
      </c>
      <c r="G219">
        <v>38.299999999999997</v>
      </c>
      <c r="H219">
        <v>34.200000000000003</v>
      </c>
      <c r="I219">
        <v>35.700000000000003</v>
      </c>
      <c r="J219">
        <v>44.7</v>
      </c>
      <c r="K219">
        <f t="shared" si="6"/>
        <v>36.25</v>
      </c>
      <c r="L219" t="str">
        <f t="shared" si="7"/>
        <v>M2-1</v>
      </c>
    </row>
    <row r="220" spans="1:12" x14ac:dyDescent="0.35">
      <c r="A220" t="s">
        <v>175</v>
      </c>
      <c r="B220" t="s">
        <v>23</v>
      </c>
      <c r="C220" t="s">
        <v>189</v>
      </c>
      <c r="D220">
        <v>273</v>
      </c>
      <c r="E220">
        <v>0.69299999999999995</v>
      </c>
      <c r="F220">
        <v>28.2</v>
      </c>
      <c r="G220">
        <v>35.200000000000003</v>
      </c>
      <c r="H220">
        <v>23.1</v>
      </c>
      <c r="I220">
        <v>26.4</v>
      </c>
      <c r="J220">
        <v>37.4</v>
      </c>
      <c r="K220">
        <f t="shared" si="6"/>
        <v>29.150000000000002</v>
      </c>
      <c r="L220" t="str">
        <f t="shared" si="7"/>
        <v>M2-2</v>
      </c>
    </row>
    <row r="221" spans="1:12" x14ac:dyDescent="0.35">
      <c r="A221" t="s">
        <v>175</v>
      </c>
      <c r="B221" t="s">
        <v>23</v>
      </c>
      <c r="C221" t="s">
        <v>190</v>
      </c>
      <c r="D221">
        <v>6501</v>
      </c>
      <c r="E221">
        <v>0.69499999999999995</v>
      </c>
      <c r="F221">
        <v>31.2</v>
      </c>
      <c r="G221">
        <v>36.5</v>
      </c>
      <c r="H221">
        <v>31.5</v>
      </c>
      <c r="I221">
        <v>25.6</v>
      </c>
      <c r="J221">
        <v>42.9</v>
      </c>
      <c r="K221">
        <f t="shared" si="6"/>
        <v>34</v>
      </c>
      <c r="L221" t="str">
        <f t="shared" si="7"/>
        <v>L</v>
      </c>
    </row>
    <row r="222" spans="1:12" x14ac:dyDescent="0.35">
      <c r="A222" t="s">
        <v>175</v>
      </c>
      <c r="B222" t="s">
        <v>35</v>
      </c>
      <c r="C222" t="s">
        <v>191</v>
      </c>
      <c r="D222">
        <v>420</v>
      </c>
      <c r="E222">
        <v>0.68</v>
      </c>
      <c r="F222">
        <v>30.2</v>
      </c>
      <c r="G222">
        <v>36.4</v>
      </c>
      <c r="H222">
        <v>30</v>
      </c>
      <c r="I222">
        <v>24.3</v>
      </c>
      <c r="J222">
        <v>37.9</v>
      </c>
      <c r="K222">
        <f t="shared" si="6"/>
        <v>33.200000000000003</v>
      </c>
      <c r="L222" t="str">
        <f t="shared" si="7"/>
        <v>NS1</v>
      </c>
    </row>
    <row r="223" spans="1:12" x14ac:dyDescent="0.35">
      <c r="A223" t="s">
        <v>175</v>
      </c>
      <c r="B223" t="s">
        <v>35</v>
      </c>
      <c r="C223" t="s">
        <v>66</v>
      </c>
      <c r="D223">
        <v>375</v>
      </c>
      <c r="E223">
        <v>0.73199999999999998</v>
      </c>
      <c r="F223">
        <v>33.9</v>
      </c>
      <c r="G223">
        <v>30.4</v>
      </c>
      <c r="H223">
        <v>31.2</v>
      </c>
      <c r="I223">
        <v>40</v>
      </c>
      <c r="J223">
        <v>43.6</v>
      </c>
      <c r="K223">
        <f t="shared" si="6"/>
        <v>30.799999999999997</v>
      </c>
      <c r="L223" t="str">
        <f t="shared" si="7"/>
        <v>NS2</v>
      </c>
    </row>
    <row r="224" spans="1:12" x14ac:dyDescent="0.35">
      <c r="A224" t="s">
        <v>175</v>
      </c>
      <c r="B224" t="s">
        <v>35</v>
      </c>
      <c r="C224" t="s">
        <v>192</v>
      </c>
      <c r="D224">
        <v>1176</v>
      </c>
      <c r="E224">
        <v>0.68</v>
      </c>
      <c r="F224">
        <v>37.4</v>
      </c>
      <c r="G224">
        <v>49</v>
      </c>
      <c r="H224">
        <v>33.4</v>
      </c>
      <c r="I224">
        <v>29.8</v>
      </c>
      <c r="J224">
        <v>45.5</v>
      </c>
      <c r="K224">
        <f t="shared" si="6"/>
        <v>41.2</v>
      </c>
      <c r="L224" t="str">
        <f t="shared" si="7"/>
        <v>N</v>
      </c>
    </row>
    <row r="225" spans="1:12" x14ac:dyDescent="0.35">
      <c r="A225" t="s">
        <v>175</v>
      </c>
      <c r="B225" t="s">
        <v>35</v>
      </c>
      <c r="C225" t="s">
        <v>193</v>
      </c>
      <c r="D225">
        <v>726</v>
      </c>
      <c r="E225">
        <v>0.73499999999999999</v>
      </c>
      <c r="F225">
        <v>37.5</v>
      </c>
      <c r="G225">
        <v>44.2</v>
      </c>
      <c r="H225">
        <v>36.4</v>
      </c>
      <c r="I225">
        <v>31.8</v>
      </c>
      <c r="J225">
        <v>45.4</v>
      </c>
      <c r="K225">
        <f t="shared" si="6"/>
        <v>40.299999999999997</v>
      </c>
      <c r="L225" t="str">
        <f t="shared" si="7"/>
        <v>P</v>
      </c>
    </row>
    <row r="226" spans="1:12" x14ac:dyDescent="0.35">
      <c r="A226" t="s">
        <v>175</v>
      </c>
      <c r="B226" t="s">
        <v>35</v>
      </c>
      <c r="C226" t="s">
        <v>194</v>
      </c>
      <c r="D226">
        <v>771</v>
      </c>
      <c r="E226">
        <v>0.69</v>
      </c>
      <c r="F226">
        <v>36.799999999999997</v>
      </c>
      <c r="G226">
        <v>41.6</v>
      </c>
      <c r="H226">
        <v>36.6</v>
      </c>
      <c r="I226">
        <v>32.299999999999997</v>
      </c>
      <c r="J226">
        <v>49.4</v>
      </c>
      <c r="K226">
        <f t="shared" si="6"/>
        <v>39.1</v>
      </c>
      <c r="L226" t="str">
        <f t="shared" si="7"/>
        <v>M</v>
      </c>
    </row>
    <row r="227" spans="1:12" x14ac:dyDescent="0.35">
      <c r="A227" t="s">
        <v>175</v>
      </c>
      <c r="B227" t="s">
        <v>35</v>
      </c>
      <c r="C227" t="s">
        <v>195</v>
      </c>
      <c r="D227">
        <v>198</v>
      </c>
      <c r="E227">
        <v>0.64600000000000002</v>
      </c>
      <c r="F227">
        <v>28.3</v>
      </c>
      <c r="G227">
        <v>27.3</v>
      </c>
      <c r="H227">
        <v>27.3</v>
      </c>
      <c r="I227">
        <v>30.3</v>
      </c>
      <c r="J227">
        <v>32.9</v>
      </c>
      <c r="K227">
        <f t="shared" si="6"/>
        <v>27.3</v>
      </c>
      <c r="L227" t="str">
        <f t="shared" si="7"/>
        <v>SH</v>
      </c>
    </row>
    <row r="228" spans="1:12" x14ac:dyDescent="0.35">
      <c r="A228" t="s">
        <v>175</v>
      </c>
      <c r="B228" t="s">
        <v>35</v>
      </c>
      <c r="C228" t="s">
        <v>196</v>
      </c>
      <c r="D228">
        <v>954</v>
      </c>
      <c r="E228">
        <v>0.74199999999999999</v>
      </c>
      <c r="F228">
        <v>40.1</v>
      </c>
      <c r="G228">
        <v>34.9</v>
      </c>
      <c r="H228">
        <v>48.4</v>
      </c>
      <c r="I228">
        <v>37.1</v>
      </c>
      <c r="J228">
        <v>44.1</v>
      </c>
      <c r="K228">
        <f t="shared" si="6"/>
        <v>41.65</v>
      </c>
      <c r="L228" t="str">
        <f t="shared" si="7"/>
        <v>G</v>
      </c>
    </row>
    <row r="229" spans="1:12" x14ac:dyDescent="0.35">
      <c r="A229" t="s">
        <v>175</v>
      </c>
      <c r="B229" t="s">
        <v>35</v>
      </c>
      <c r="C229" t="s">
        <v>197</v>
      </c>
      <c r="D229">
        <v>1725</v>
      </c>
      <c r="E229">
        <v>0.69599999999999995</v>
      </c>
      <c r="F229">
        <v>34.799999999999997</v>
      </c>
      <c r="G229">
        <v>36.299999999999997</v>
      </c>
      <c r="H229">
        <v>36.9</v>
      </c>
      <c r="I229">
        <v>31.1</v>
      </c>
      <c r="J229">
        <v>48.1</v>
      </c>
      <c r="K229">
        <f t="shared" si="6"/>
        <v>36.599999999999994</v>
      </c>
      <c r="L229" t="str">
        <f t="shared" si="7"/>
        <v>F</v>
      </c>
    </row>
    <row r="230" spans="1:12" x14ac:dyDescent="0.35">
      <c r="A230" t="s">
        <v>175</v>
      </c>
      <c r="B230" t="s">
        <v>35</v>
      </c>
      <c r="C230" t="s">
        <v>198</v>
      </c>
      <c r="D230">
        <v>588</v>
      </c>
      <c r="E230">
        <v>0.73399999999999999</v>
      </c>
      <c r="F230">
        <v>36.700000000000003</v>
      </c>
      <c r="G230">
        <v>38.799999999999997</v>
      </c>
      <c r="H230">
        <v>34.200000000000003</v>
      </c>
      <c r="I230">
        <v>37.200000000000003</v>
      </c>
      <c r="J230">
        <v>45.9</v>
      </c>
      <c r="K230">
        <f t="shared" si="6"/>
        <v>36.5</v>
      </c>
      <c r="L230" t="str">
        <f t="shared" si="7"/>
        <v>M2-1</v>
      </c>
    </row>
    <row r="231" spans="1:12" x14ac:dyDescent="0.35">
      <c r="A231" t="s">
        <v>175</v>
      </c>
      <c r="B231" t="s">
        <v>35</v>
      </c>
      <c r="C231" t="s">
        <v>199</v>
      </c>
      <c r="D231">
        <v>273</v>
      </c>
      <c r="E231">
        <v>0.69699999999999995</v>
      </c>
      <c r="F231">
        <v>28.9</v>
      </c>
      <c r="G231">
        <v>35.200000000000003</v>
      </c>
      <c r="H231">
        <v>24.2</v>
      </c>
      <c r="I231">
        <v>27.5</v>
      </c>
      <c r="J231">
        <v>42.9</v>
      </c>
      <c r="K231">
        <f t="shared" si="6"/>
        <v>29.700000000000003</v>
      </c>
      <c r="L231" t="str">
        <f t="shared" si="7"/>
        <v>M2-2</v>
      </c>
    </row>
    <row r="232" spans="1:12" x14ac:dyDescent="0.35">
      <c r="A232" t="s">
        <v>175</v>
      </c>
      <c r="B232" t="s">
        <v>35</v>
      </c>
      <c r="C232" t="s">
        <v>200</v>
      </c>
      <c r="D232">
        <v>6501</v>
      </c>
      <c r="E232">
        <v>0.69399999999999995</v>
      </c>
      <c r="F232">
        <v>31.2</v>
      </c>
      <c r="G232">
        <v>36.5</v>
      </c>
      <c r="H232">
        <v>31.4</v>
      </c>
      <c r="I232">
        <v>25.8</v>
      </c>
      <c r="J232">
        <v>43</v>
      </c>
      <c r="K232">
        <f t="shared" si="6"/>
        <v>33.950000000000003</v>
      </c>
      <c r="L232" t="str">
        <f t="shared" si="7"/>
        <v>L</v>
      </c>
    </row>
    <row r="233" spans="1:12" x14ac:dyDescent="0.35">
      <c r="A233" t="s">
        <v>175</v>
      </c>
      <c r="B233" t="s">
        <v>47</v>
      </c>
      <c r="C233" t="s">
        <v>12</v>
      </c>
      <c r="D233">
        <v>420</v>
      </c>
      <c r="E233">
        <v>0.68200000000000005</v>
      </c>
      <c r="F233">
        <v>30.2</v>
      </c>
      <c r="G233">
        <v>36.4</v>
      </c>
      <c r="H233">
        <v>30</v>
      </c>
      <c r="I233">
        <v>24.3</v>
      </c>
      <c r="J233">
        <v>37.799999999999997</v>
      </c>
      <c r="K233">
        <f t="shared" si="6"/>
        <v>33.200000000000003</v>
      </c>
      <c r="L233" t="str">
        <f t="shared" si="7"/>
        <v>NS1</v>
      </c>
    </row>
    <row r="234" spans="1:12" x14ac:dyDescent="0.35">
      <c r="A234" t="s">
        <v>175</v>
      </c>
      <c r="B234" t="s">
        <v>47</v>
      </c>
      <c r="C234" t="s">
        <v>201</v>
      </c>
      <c r="D234">
        <v>375</v>
      </c>
      <c r="E234">
        <v>0.73799999999999999</v>
      </c>
      <c r="F234">
        <v>34.4</v>
      </c>
      <c r="G234">
        <v>30.4</v>
      </c>
      <c r="H234">
        <v>30.4</v>
      </c>
      <c r="I234">
        <v>42.4</v>
      </c>
      <c r="J234">
        <v>41.1</v>
      </c>
      <c r="K234">
        <f t="shared" si="6"/>
        <v>30.4</v>
      </c>
      <c r="L234" t="str">
        <f t="shared" si="7"/>
        <v>NS2</v>
      </c>
    </row>
    <row r="235" spans="1:12" x14ac:dyDescent="0.35">
      <c r="A235" t="s">
        <v>175</v>
      </c>
      <c r="B235" t="s">
        <v>47</v>
      </c>
      <c r="C235" t="s">
        <v>202</v>
      </c>
      <c r="D235">
        <v>1176</v>
      </c>
      <c r="E235">
        <v>0.68</v>
      </c>
      <c r="F235">
        <v>37.299999999999997</v>
      </c>
      <c r="G235">
        <v>48.7</v>
      </c>
      <c r="H235">
        <v>33.4</v>
      </c>
      <c r="I235">
        <v>29.8</v>
      </c>
      <c r="J235">
        <v>44.7</v>
      </c>
      <c r="K235">
        <f t="shared" si="6"/>
        <v>41.05</v>
      </c>
      <c r="L235" t="str">
        <f t="shared" si="7"/>
        <v>N</v>
      </c>
    </row>
    <row r="236" spans="1:12" x14ac:dyDescent="0.35">
      <c r="A236" t="s">
        <v>175</v>
      </c>
      <c r="B236" t="s">
        <v>47</v>
      </c>
      <c r="C236" t="s">
        <v>15</v>
      </c>
      <c r="D236">
        <v>726</v>
      </c>
      <c r="E236">
        <v>0.73399999999999999</v>
      </c>
      <c r="F236">
        <v>37.9</v>
      </c>
      <c r="G236">
        <v>44.2</v>
      </c>
      <c r="H236">
        <v>36.4</v>
      </c>
      <c r="I236">
        <v>33.1</v>
      </c>
      <c r="J236">
        <v>46.1</v>
      </c>
      <c r="K236">
        <f t="shared" si="6"/>
        <v>40.299999999999997</v>
      </c>
      <c r="L236" t="str">
        <f t="shared" si="7"/>
        <v>P</v>
      </c>
    </row>
    <row r="237" spans="1:12" x14ac:dyDescent="0.35">
      <c r="A237" t="s">
        <v>175</v>
      </c>
      <c r="B237" t="s">
        <v>47</v>
      </c>
      <c r="C237" t="s">
        <v>203</v>
      </c>
      <c r="D237">
        <v>771</v>
      </c>
      <c r="E237">
        <v>0.70099999999999996</v>
      </c>
      <c r="F237">
        <v>37.200000000000003</v>
      </c>
      <c r="G237">
        <v>41.2</v>
      </c>
      <c r="H237">
        <v>37</v>
      </c>
      <c r="I237">
        <v>33.5</v>
      </c>
      <c r="J237">
        <v>49.4</v>
      </c>
      <c r="K237">
        <f t="shared" si="6"/>
        <v>39.1</v>
      </c>
      <c r="L237" t="str">
        <f t="shared" si="7"/>
        <v>M</v>
      </c>
    </row>
    <row r="238" spans="1:12" x14ac:dyDescent="0.35">
      <c r="A238" t="s">
        <v>175</v>
      </c>
      <c r="B238" t="s">
        <v>47</v>
      </c>
      <c r="C238" t="s">
        <v>204</v>
      </c>
      <c r="D238">
        <v>198</v>
      </c>
      <c r="E238">
        <v>0.65</v>
      </c>
      <c r="F238">
        <v>29.8</v>
      </c>
      <c r="G238">
        <v>28.8</v>
      </c>
      <c r="H238">
        <v>27.3</v>
      </c>
      <c r="I238">
        <v>33.299999999999997</v>
      </c>
      <c r="J238">
        <v>33.9</v>
      </c>
      <c r="K238">
        <f t="shared" si="6"/>
        <v>28.05</v>
      </c>
      <c r="L238" t="str">
        <f t="shared" si="7"/>
        <v>SH</v>
      </c>
    </row>
    <row r="239" spans="1:12" x14ac:dyDescent="0.35">
      <c r="A239" t="s">
        <v>175</v>
      </c>
      <c r="B239" t="s">
        <v>47</v>
      </c>
      <c r="C239" t="s">
        <v>205</v>
      </c>
      <c r="D239">
        <v>933</v>
      </c>
      <c r="E239">
        <v>0.74299999999999999</v>
      </c>
      <c r="F239">
        <v>40.6</v>
      </c>
      <c r="G239">
        <v>35.4</v>
      </c>
      <c r="H239">
        <v>49.2</v>
      </c>
      <c r="I239">
        <v>37.299999999999997</v>
      </c>
      <c r="J239">
        <v>44.8</v>
      </c>
      <c r="K239">
        <f t="shared" si="6"/>
        <v>42.3</v>
      </c>
      <c r="L239" t="str">
        <f t="shared" si="7"/>
        <v>G</v>
      </c>
    </row>
    <row r="240" spans="1:12" x14ac:dyDescent="0.35">
      <c r="A240" t="s">
        <v>175</v>
      </c>
      <c r="B240" t="s">
        <v>47</v>
      </c>
      <c r="C240" t="s">
        <v>206</v>
      </c>
      <c r="D240">
        <v>1725</v>
      </c>
      <c r="E240">
        <v>0.69599999999999995</v>
      </c>
      <c r="F240">
        <v>34.700000000000003</v>
      </c>
      <c r="G240">
        <v>36.299999999999997</v>
      </c>
      <c r="H240">
        <v>36.9</v>
      </c>
      <c r="I240">
        <v>31</v>
      </c>
      <c r="J240">
        <v>47.1</v>
      </c>
      <c r="K240">
        <f t="shared" si="6"/>
        <v>36.599999999999994</v>
      </c>
      <c r="L240" t="str">
        <f t="shared" si="7"/>
        <v>F</v>
      </c>
    </row>
    <row r="241" spans="1:12" x14ac:dyDescent="0.35">
      <c r="A241" t="s">
        <v>175</v>
      </c>
      <c r="B241" t="s">
        <v>47</v>
      </c>
      <c r="C241" t="s">
        <v>207</v>
      </c>
      <c r="D241">
        <v>588</v>
      </c>
      <c r="E241">
        <v>0.73399999999999999</v>
      </c>
      <c r="F241">
        <v>36.200000000000003</v>
      </c>
      <c r="G241">
        <v>38.299999999999997</v>
      </c>
      <c r="H241">
        <v>34.200000000000003</v>
      </c>
      <c r="I241">
        <v>36.200000000000003</v>
      </c>
      <c r="J241">
        <v>44.8</v>
      </c>
      <c r="K241">
        <f t="shared" si="6"/>
        <v>36.25</v>
      </c>
      <c r="L241" t="str">
        <f t="shared" si="7"/>
        <v>M2-1</v>
      </c>
    </row>
    <row r="242" spans="1:12" x14ac:dyDescent="0.35">
      <c r="A242" t="s">
        <v>175</v>
      </c>
      <c r="B242" t="s">
        <v>47</v>
      </c>
      <c r="C242" t="s">
        <v>208</v>
      </c>
      <c r="D242">
        <v>273</v>
      </c>
      <c r="E242">
        <v>0.69</v>
      </c>
      <c r="F242">
        <v>29.7</v>
      </c>
      <c r="G242">
        <v>35.200000000000003</v>
      </c>
      <c r="H242">
        <v>25.3</v>
      </c>
      <c r="I242">
        <v>28.6</v>
      </c>
      <c r="J242">
        <v>59.3</v>
      </c>
      <c r="K242">
        <f t="shared" si="6"/>
        <v>30.25</v>
      </c>
      <c r="L242" t="str">
        <f t="shared" si="7"/>
        <v>M2-2</v>
      </c>
    </row>
    <row r="243" spans="1:12" x14ac:dyDescent="0.35">
      <c r="A243" t="s">
        <v>175</v>
      </c>
      <c r="B243" t="s">
        <v>47</v>
      </c>
      <c r="C243" t="s">
        <v>209</v>
      </c>
      <c r="D243">
        <v>6501</v>
      </c>
      <c r="E243">
        <v>0.69499999999999995</v>
      </c>
      <c r="F243">
        <v>31.2</v>
      </c>
      <c r="G243">
        <v>36.5</v>
      </c>
      <c r="H243">
        <v>31.5</v>
      </c>
      <c r="I243">
        <v>25.7</v>
      </c>
      <c r="J243">
        <v>42.9</v>
      </c>
      <c r="K243">
        <f t="shared" si="6"/>
        <v>34</v>
      </c>
      <c r="L243" t="str">
        <f t="shared" si="7"/>
        <v>L</v>
      </c>
    </row>
    <row r="244" spans="1:12" x14ac:dyDescent="0.35">
      <c r="A244" t="s">
        <v>175</v>
      </c>
      <c r="B244" t="s">
        <v>55</v>
      </c>
      <c r="C244" t="s">
        <v>210</v>
      </c>
      <c r="D244">
        <v>420</v>
      </c>
      <c r="E244">
        <v>0.68400000000000005</v>
      </c>
      <c r="F244">
        <v>30.5</v>
      </c>
      <c r="G244">
        <v>35.700000000000003</v>
      </c>
      <c r="H244">
        <v>30</v>
      </c>
      <c r="I244">
        <v>25.7</v>
      </c>
      <c r="J244">
        <v>38.4</v>
      </c>
      <c r="K244">
        <f t="shared" si="6"/>
        <v>32.85</v>
      </c>
      <c r="L244" t="str">
        <f t="shared" si="7"/>
        <v>NS1</v>
      </c>
    </row>
    <row r="245" spans="1:12" x14ac:dyDescent="0.35">
      <c r="A245" t="s">
        <v>175</v>
      </c>
      <c r="B245" t="s">
        <v>55</v>
      </c>
      <c r="C245" t="s">
        <v>211</v>
      </c>
      <c r="D245">
        <v>375</v>
      </c>
      <c r="E245">
        <v>0.73699999999999999</v>
      </c>
      <c r="F245">
        <v>34.700000000000003</v>
      </c>
      <c r="G245">
        <v>31.2</v>
      </c>
      <c r="H245">
        <v>31.2</v>
      </c>
      <c r="I245">
        <v>41.6</v>
      </c>
      <c r="J245">
        <v>41.1</v>
      </c>
      <c r="K245">
        <f t="shared" si="6"/>
        <v>31.2</v>
      </c>
      <c r="L245" t="str">
        <f t="shared" si="7"/>
        <v>NS2</v>
      </c>
    </row>
    <row r="246" spans="1:12" x14ac:dyDescent="0.35">
      <c r="A246" t="s">
        <v>175</v>
      </c>
      <c r="B246" t="s">
        <v>55</v>
      </c>
      <c r="C246" t="s">
        <v>212</v>
      </c>
      <c r="D246">
        <v>1176</v>
      </c>
      <c r="E246">
        <v>0.67500000000000004</v>
      </c>
      <c r="F246">
        <v>37</v>
      </c>
      <c r="G246">
        <v>48.7</v>
      </c>
      <c r="H246">
        <v>33.4</v>
      </c>
      <c r="I246">
        <v>28.8</v>
      </c>
      <c r="J246">
        <v>44.4</v>
      </c>
      <c r="K246">
        <f t="shared" si="6"/>
        <v>41.05</v>
      </c>
      <c r="L246" t="str">
        <f t="shared" si="7"/>
        <v>N</v>
      </c>
    </row>
    <row r="247" spans="1:12" x14ac:dyDescent="0.35">
      <c r="A247" t="s">
        <v>175</v>
      </c>
      <c r="B247" t="s">
        <v>55</v>
      </c>
      <c r="C247" t="s">
        <v>213</v>
      </c>
      <c r="D247">
        <v>726</v>
      </c>
      <c r="E247">
        <v>0.74</v>
      </c>
      <c r="F247">
        <v>37.9</v>
      </c>
      <c r="G247">
        <v>43.8</v>
      </c>
      <c r="H247">
        <v>36.4</v>
      </c>
      <c r="I247">
        <v>33.5</v>
      </c>
      <c r="J247">
        <v>46.3</v>
      </c>
      <c r="K247">
        <f t="shared" si="6"/>
        <v>40.099999999999994</v>
      </c>
      <c r="L247" t="str">
        <f t="shared" si="7"/>
        <v>P</v>
      </c>
    </row>
    <row r="248" spans="1:12" x14ac:dyDescent="0.35">
      <c r="A248" t="s">
        <v>175</v>
      </c>
      <c r="B248" t="s">
        <v>55</v>
      </c>
      <c r="C248" t="s">
        <v>214</v>
      </c>
      <c r="D248">
        <v>771</v>
      </c>
      <c r="E248">
        <v>0.70199999999999996</v>
      </c>
      <c r="F248">
        <v>37.1</v>
      </c>
      <c r="G248">
        <v>41.2</v>
      </c>
      <c r="H248">
        <v>37</v>
      </c>
      <c r="I248">
        <v>33.1</v>
      </c>
      <c r="J248">
        <v>49.4</v>
      </c>
      <c r="K248">
        <f t="shared" si="6"/>
        <v>39.1</v>
      </c>
      <c r="L248" t="str">
        <f t="shared" si="7"/>
        <v>M</v>
      </c>
    </row>
    <row r="249" spans="1:12" x14ac:dyDescent="0.35">
      <c r="A249" t="s">
        <v>175</v>
      </c>
      <c r="B249" t="s">
        <v>55</v>
      </c>
      <c r="C249" t="s">
        <v>215</v>
      </c>
      <c r="D249">
        <v>198</v>
      </c>
      <c r="E249">
        <v>0.65</v>
      </c>
      <c r="F249">
        <v>29.8</v>
      </c>
      <c r="G249">
        <v>28.8</v>
      </c>
      <c r="H249">
        <v>27.3</v>
      </c>
      <c r="I249">
        <v>33.299999999999997</v>
      </c>
      <c r="J249">
        <v>33.9</v>
      </c>
      <c r="K249">
        <f t="shared" si="6"/>
        <v>28.05</v>
      </c>
      <c r="L249" t="str">
        <f t="shared" si="7"/>
        <v>SH</v>
      </c>
    </row>
    <row r="250" spans="1:12" x14ac:dyDescent="0.35">
      <c r="A250" t="s">
        <v>175</v>
      </c>
      <c r="B250" t="s">
        <v>55</v>
      </c>
      <c r="C250" t="s">
        <v>216</v>
      </c>
      <c r="D250">
        <v>933</v>
      </c>
      <c r="E250">
        <v>0.746</v>
      </c>
      <c r="F250">
        <v>40.6</v>
      </c>
      <c r="G250">
        <v>36</v>
      </c>
      <c r="H250">
        <v>48.9</v>
      </c>
      <c r="I250">
        <v>37</v>
      </c>
      <c r="J250">
        <v>45</v>
      </c>
      <c r="K250">
        <f t="shared" si="6"/>
        <v>42.45</v>
      </c>
      <c r="L250" t="str">
        <f t="shared" si="7"/>
        <v>G</v>
      </c>
    </row>
    <row r="251" spans="1:12" x14ac:dyDescent="0.35">
      <c r="A251" t="s">
        <v>175</v>
      </c>
      <c r="B251" t="s">
        <v>55</v>
      </c>
      <c r="C251" t="s">
        <v>217</v>
      </c>
      <c r="D251">
        <v>1725</v>
      </c>
      <c r="E251">
        <v>0.69699999999999995</v>
      </c>
      <c r="F251">
        <v>34.799999999999997</v>
      </c>
      <c r="G251">
        <v>36.5</v>
      </c>
      <c r="H251">
        <v>36.299999999999997</v>
      </c>
      <c r="I251">
        <v>31.5</v>
      </c>
      <c r="J251">
        <v>48.9</v>
      </c>
      <c r="K251">
        <f t="shared" si="6"/>
        <v>36.4</v>
      </c>
      <c r="L251" t="str">
        <f t="shared" si="7"/>
        <v>F</v>
      </c>
    </row>
    <row r="252" spans="1:12" x14ac:dyDescent="0.35">
      <c r="A252" t="s">
        <v>175</v>
      </c>
      <c r="B252" t="s">
        <v>55</v>
      </c>
      <c r="C252" t="s">
        <v>218</v>
      </c>
      <c r="D252">
        <v>588</v>
      </c>
      <c r="E252">
        <v>0.73299999999999998</v>
      </c>
      <c r="F252">
        <v>36.6</v>
      </c>
      <c r="G252">
        <v>38.799999999999997</v>
      </c>
      <c r="H252">
        <v>34.200000000000003</v>
      </c>
      <c r="I252">
        <v>36.700000000000003</v>
      </c>
      <c r="J252">
        <v>45.5</v>
      </c>
      <c r="K252">
        <f t="shared" si="6"/>
        <v>36.5</v>
      </c>
      <c r="L252" t="str">
        <f t="shared" si="7"/>
        <v>M2-1</v>
      </c>
    </row>
    <row r="253" spans="1:12" x14ac:dyDescent="0.35">
      <c r="A253" t="s">
        <v>175</v>
      </c>
      <c r="B253" t="s">
        <v>55</v>
      </c>
      <c r="C253" t="s">
        <v>219</v>
      </c>
      <c r="D253">
        <v>273</v>
      </c>
      <c r="E253">
        <v>0.68700000000000006</v>
      </c>
      <c r="F253">
        <v>28.2</v>
      </c>
      <c r="G253">
        <v>34.1</v>
      </c>
      <c r="H253">
        <v>24.2</v>
      </c>
      <c r="I253">
        <v>26.4</v>
      </c>
      <c r="J253">
        <v>44.2</v>
      </c>
      <c r="K253">
        <f t="shared" si="6"/>
        <v>29.15</v>
      </c>
      <c r="L253" t="str">
        <f t="shared" si="7"/>
        <v>M2-2</v>
      </c>
    </row>
    <row r="254" spans="1:12" x14ac:dyDescent="0.35">
      <c r="A254" t="s">
        <v>175</v>
      </c>
      <c r="B254" t="s">
        <v>55</v>
      </c>
      <c r="C254" t="s">
        <v>220</v>
      </c>
      <c r="D254">
        <v>6498</v>
      </c>
      <c r="E254">
        <v>0.69499999999999995</v>
      </c>
      <c r="F254">
        <v>31.2</v>
      </c>
      <c r="G254">
        <v>36.5</v>
      </c>
      <c r="H254">
        <v>31.5</v>
      </c>
      <c r="I254">
        <v>25.7</v>
      </c>
      <c r="J254">
        <v>42.9</v>
      </c>
      <c r="K254">
        <f t="shared" si="6"/>
        <v>34</v>
      </c>
      <c r="L254" t="str">
        <f t="shared" si="7"/>
        <v>L</v>
      </c>
    </row>
    <row r="255" spans="1:12" x14ac:dyDescent="0.35">
      <c r="A255" t="s">
        <v>175</v>
      </c>
      <c r="B255" t="s">
        <v>65</v>
      </c>
      <c r="C255" t="s">
        <v>221</v>
      </c>
      <c r="D255">
        <v>420</v>
      </c>
      <c r="E255">
        <v>0.68300000000000005</v>
      </c>
      <c r="F255">
        <v>30.5</v>
      </c>
      <c r="G255">
        <v>36.4</v>
      </c>
      <c r="H255">
        <v>30</v>
      </c>
      <c r="I255">
        <v>25</v>
      </c>
      <c r="J255">
        <v>38.200000000000003</v>
      </c>
      <c r="K255">
        <f t="shared" si="6"/>
        <v>33.200000000000003</v>
      </c>
      <c r="L255" t="str">
        <f t="shared" si="7"/>
        <v>NS1</v>
      </c>
    </row>
    <row r="256" spans="1:12" x14ac:dyDescent="0.35">
      <c r="A256" t="s">
        <v>175</v>
      </c>
      <c r="B256" t="s">
        <v>65</v>
      </c>
      <c r="C256" t="s">
        <v>222</v>
      </c>
      <c r="D256">
        <v>375</v>
      </c>
      <c r="E256">
        <v>0.73699999999999999</v>
      </c>
      <c r="F256">
        <v>34.700000000000003</v>
      </c>
      <c r="G256">
        <v>31.2</v>
      </c>
      <c r="H256">
        <v>31.2</v>
      </c>
      <c r="I256">
        <v>41.6</v>
      </c>
      <c r="J256">
        <v>41.1</v>
      </c>
      <c r="K256">
        <f t="shared" si="6"/>
        <v>31.2</v>
      </c>
      <c r="L256" t="str">
        <f t="shared" si="7"/>
        <v>NS2</v>
      </c>
    </row>
    <row r="257" spans="1:12" x14ac:dyDescent="0.35">
      <c r="A257" t="s">
        <v>175</v>
      </c>
      <c r="B257" t="s">
        <v>65</v>
      </c>
      <c r="C257" t="s">
        <v>223</v>
      </c>
      <c r="D257">
        <v>1176</v>
      </c>
      <c r="E257">
        <v>0.67600000000000005</v>
      </c>
      <c r="F257">
        <v>37</v>
      </c>
      <c r="G257">
        <v>48.7</v>
      </c>
      <c r="H257">
        <v>33.4</v>
      </c>
      <c r="I257">
        <v>28.8</v>
      </c>
      <c r="J257">
        <v>44.6</v>
      </c>
      <c r="K257">
        <f t="shared" si="6"/>
        <v>41.05</v>
      </c>
      <c r="L257" t="str">
        <f t="shared" si="7"/>
        <v>N</v>
      </c>
    </row>
    <row r="258" spans="1:12" x14ac:dyDescent="0.35">
      <c r="A258" t="s">
        <v>175</v>
      </c>
      <c r="B258" t="s">
        <v>65</v>
      </c>
      <c r="C258" t="s">
        <v>224</v>
      </c>
      <c r="D258">
        <v>726</v>
      </c>
      <c r="E258">
        <v>0.73799999999999999</v>
      </c>
      <c r="F258">
        <v>37.5</v>
      </c>
      <c r="G258">
        <v>43.8</v>
      </c>
      <c r="H258">
        <v>36.4</v>
      </c>
      <c r="I258">
        <v>32.200000000000003</v>
      </c>
      <c r="J258">
        <v>45.9</v>
      </c>
      <c r="K258">
        <f t="shared" si="6"/>
        <v>40.099999999999994</v>
      </c>
      <c r="L258" t="str">
        <f t="shared" si="7"/>
        <v>P</v>
      </c>
    </row>
    <row r="259" spans="1:12" x14ac:dyDescent="0.35">
      <c r="A259" t="s">
        <v>175</v>
      </c>
      <c r="B259" t="s">
        <v>65</v>
      </c>
      <c r="C259" t="s">
        <v>225</v>
      </c>
      <c r="D259">
        <v>771</v>
      </c>
      <c r="E259">
        <v>0.70499999999999996</v>
      </c>
      <c r="F259">
        <v>37.200000000000003</v>
      </c>
      <c r="G259">
        <v>41.2</v>
      </c>
      <c r="H259">
        <v>37</v>
      </c>
      <c r="I259">
        <v>33.5</v>
      </c>
      <c r="J259">
        <v>49.4</v>
      </c>
      <c r="K259">
        <f t="shared" ref="K259:K322" si="8">(G259+H259)/2</f>
        <v>39.1</v>
      </c>
      <c r="L259" t="str">
        <f t="shared" ref="L259:L322" si="9">IF(ISNUMBER(SEARCH("M2-1",C259)),"M2-1",IF(ISNUMBER(SEARCH("M2-2",C259)),"M2-2",IF(LEFT(C259,3)="NS1","NS1",IF(LEFT(C259,3)="NS2","NS2",IF(LEFT(C259,2)="N_","N",IF(LEFT(C259,2)="P_","P",IF(LEFT(C259,2)="M_","M",IF(LEFT(C259,2)="SH","SH",IF(LEFT(C259,2)="G_","G",IF(LEFT(C259,2)="F_","F",IF(LEFT(C259,2)="L_","L","UNKNOWN")))))))))))</f>
        <v>M</v>
      </c>
    </row>
    <row r="260" spans="1:12" x14ac:dyDescent="0.35">
      <c r="A260" t="s">
        <v>175</v>
      </c>
      <c r="B260" t="s">
        <v>65</v>
      </c>
      <c r="C260" t="s">
        <v>226</v>
      </c>
      <c r="D260">
        <v>198</v>
      </c>
      <c r="E260">
        <v>0.65300000000000002</v>
      </c>
      <c r="F260">
        <v>30.3</v>
      </c>
      <c r="G260">
        <v>28.8</v>
      </c>
      <c r="H260">
        <v>27.3</v>
      </c>
      <c r="I260">
        <v>34.799999999999997</v>
      </c>
      <c r="J260">
        <v>34.200000000000003</v>
      </c>
      <c r="K260">
        <f t="shared" si="8"/>
        <v>28.05</v>
      </c>
      <c r="L260" t="str">
        <f t="shared" si="9"/>
        <v>SH</v>
      </c>
    </row>
    <row r="261" spans="1:12" x14ac:dyDescent="0.35">
      <c r="A261" t="s">
        <v>175</v>
      </c>
      <c r="B261" t="s">
        <v>65</v>
      </c>
      <c r="C261" t="s">
        <v>227</v>
      </c>
      <c r="D261">
        <v>954</v>
      </c>
      <c r="E261">
        <v>0.746</v>
      </c>
      <c r="F261">
        <v>40.700000000000003</v>
      </c>
      <c r="G261">
        <v>36.799999999999997</v>
      </c>
      <c r="H261">
        <v>48.1</v>
      </c>
      <c r="I261">
        <v>37.1</v>
      </c>
      <c r="J261">
        <v>47.2</v>
      </c>
      <c r="K261">
        <f t="shared" si="8"/>
        <v>42.45</v>
      </c>
      <c r="L261" t="str">
        <f t="shared" si="9"/>
        <v>G</v>
      </c>
    </row>
    <row r="262" spans="1:12" x14ac:dyDescent="0.35">
      <c r="A262" t="s">
        <v>175</v>
      </c>
      <c r="B262" t="s">
        <v>65</v>
      </c>
      <c r="C262" t="s">
        <v>228</v>
      </c>
      <c r="D262">
        <v>1725</v>
      </c>
      <c r="E262">
        <v>0.69599999999999995</v>
      </c>
      <c r="F262">
        <v>34.6</v>
      </c>
      <c r="G262">
        <v>36.5</v>
      </c>
      <c r="H262">
        <v>36.299999999999997</v>
      </c>
      <c r="I262">
        <v>30.8</v>
      </c>
      <c r="J262">
        <v>48.5</v>
      </c>
      <c r="K262">
        <f t="shared" si="8"/>
        <v>36.4</v>
      </c>
      <c r="L262" t="str">
        <f t="shared" si="9"/>
        <v>F</v>
      </c>
    </row>
    <row r="263" spans="1:12" x14ac:dyDescent="0.35">
      <c r="A263" t="s">
        <v>175</v>
      </c>
      <c r="B263" t="s">
        <v>65</v>
      </c>
      <c r="C263" t="s">
        <v>229</v>
      </c>
      <c r="D263">
        <v>588</v>
      </c>
      <c r="E263">
        <v>0.73599999999999999</v>
      </c>
      <c r="F263">
        <v>36.4</v>
      </c>
      <c r="G263">
        <v>38.299999999999997</v>
      </c>
      <c r="H263">
        <v>34.200000000000003</v>
      </c>
      <c r="I263">
        <v>36.700000000000003</v>
      </c>
      <c r="J263">
        <v>44.8</v>
      </c>
      <c r="K263">
        <f t="shared" si="8"/>
        <v>36.25</v>
      </c>
      <c r="L263" t="str">
        <f t="shared" si="9"/>
        <v>M2-1</v>
      </c>
    </row>
    <row r="264" spans="1:12" x14ac:dyDescent="0.35">
      <c r="A264" t="s">
        <v>175</v>
      </c>
      <c r="B264" t="s">
        <v>65</v>
      </c>
      <c r="C264" t="s">
        <v>230</v>
      </c>
      <c r="D264">
        <v>273</v>
      </c>
      <c r="E264">
        <v>0.68700000000000006</v>
      </c>
      <c r="F264">
        <v>28.2</v>
      </c>
      <c r="G264">
        <v>34.1</v>
      </c>
      <c r="H264">
        <v>24.2</v>
      </c>
      <c r="I264">
        <v>26.4</v>
      </c>
      <c r="J264">
        <v>44.2</v>
      </c>
      <c r="K264">
        <f t="shared" si="8"/>
        <v>29.15</v>
      </c>
      <c r="L264" t="str">
        <f t="shared" si="9"/>
        <v>M2-2</v>
      </c>
    </row>
    <row r="265" spans="1:12" x14ac:dyDescent="0.35">
      <c r="A265" t="s">
        <v>175</v>
      </c>
      <c r="B265" t="s">
        <v>65</v>
      </c>
      <c r="C265" t="s">
        <v>231</v>
      </c>
      <c r="D265">
        <v>6501</v>
      </c>
      <c r="E265">
        <v>0.69499999999999995</v>
      </c>
      <c r="F265">
        <v>31.2</v>
      </c>
      <c r="G265">
        <v>36.4</v>
      </c>
      <c r="H265">
        <v>31.5</v>
      </c>
      <c r="I265">
        <v>25.6</v>
      </c>
      <c r="J265">
        <v>42.8</v>
      </c>
      <c r="K265">
        <f t="shared" si="8"/>
        <v>33.950000000000003</v>
      </c>
      <c r="L265" t="str">
        <f t="shared" si="9"/>
        <v>L</v>
      </c>
    </row>
    <row r="266" spans="1:12" x14ac:dyDescent="0.35">
      <c r="A266" t="s">
        <v>175</v>
      </c>
      <c r="B266" t="s">
        <v>76</v>
      </c>
      <c r="C266" t="s">
        <v>232</v>
      </c>
      <c r="D266">
        <v>420</v>
      </c>
      <c r="E266">
        <v>0.67700000000000005</v>
      </c>
      <c r="F266">
        <v>30.2</v>
      </c>
      <c r="G266">
        <v>37.1</v>
      </c>
      <c r="H266">
        <v>30</v>
      </c>
      <c r="I266">
        <v>23.6</v>
      </c>
      <c r="J266">
        <v>37.700000000000003</v>
      </c>
      <c r="K266">
        <f t="shared" si="8"/>
        <v>33.549999999999997</v>
      </c>
      <c r="L266" t="str">
        <f t="shared" si="9"/>
        <v>NS1</v>
      </c>
    </row>
    <row r="267" spans="1:12" x14ac:dyDescent="0.35">
      <c r="A267" t="s">
        <v>175</v>
      </c>
      <c r="B267" t="s">
        <v>76</v>
      </c>
      <c r="C267" t="s">
        <v>233</v>
      </c>
      <c r="D267">
        <v>375</v>
      </c>
      <c r="E267">
        <v>0.73899999999999999</v>
      </c>
      <c r="F267">
        <v>34.9</v>
      </c>
      <c r="G267">
        <v>31.2</v>
      </c>
      <c r="H267">
        <v>31.2</v>
      </c>
      <c r="I267">
        <v>42.4</v>
      </c>
      <c r="J267">
        <v>41.1</v>
      </c>
      <c r="K267">
        <f t="shared" si="8"/>
        <v>31.2</v>
      </c>
      <c r="L267" t="str">
        <f t="shared" si="9"/>
        <v>NS2</v>
      </c>
    </row>
    <row r="268" spans="1:12" x14ac:dyDescent="0.35">
      <c r="A268" t="s">
        <v>175</v>
      </c>
      <c r="B268" t="s">
        <v>76</v>
      </c>
      <c r="C268" t="s">
        <v>234</v>
      </c>
      <c r="D268">
        <v>1176</v>
      </c>
      <c r="E268">
        <v>0.67900000000000005</v>
      </c>
      <c r="F268">
        <v>37.200000000000003</v>
      </c>
      <c r="G268">
        <v>48.7</v>
      </c>
      <c r="H268">
        <v>33.4</v>
      </c>
      <c r="I268">
        <v>29.6</v>
      </c>
      <c r="J268">
        <v>44.6</v>
      </c>
      <c r="K268">
        <f t="shared" si="8"/>
        <v>41.05</v>
      </c>
      <c r="L268" t="str">
        <f t="shared" si="9"/>
        <v>N</v>
      </c>
    </row>
    <row r="269" spans="1:12" x14ac:dyDescent="0.35">
      <c r="A269" t="s">
        <v>175</v>
      </c>
      <c r="B269" t="s">
        <v>76</v>
      </c>
      <c r="C269" t="s">
        <v>235</v>
      </c>
      <c r="D269">
        <v>726</v>
      </c>
      <c r="E269">
        <v>0.73299999999999998</v>
      </c>
      <c r="F269">
        <v>37.5</v>
      </c>
      <c r="G269">
        <v>44.2</v>
      </c>
      <c r="H269">
        <v>36.4</v>
      </c>
      <c r="I269">
        <v>31.8</v>
      </c>
      <c r="J269">
        <v>45.2</v>
      </c>
      <c r="K269">
        <f t="shared" si="8"/>
        <v>40.299999999999997</v>
      </c>
      <c r="L269" t="str">
        <f t="shared" si="9"/>
        <v>P</v>
      </c>
    </row>
    <row r="270" spans="1:12" x14ac:dyDescent="0.35">
      <c r="A270" t="s">
        <v>175</v>
      </c>
      <c r="B270" t="s">
        <v>76</v>
      </c>
      <c r="C270" t="s">
        <v>236</v>
      </c>
      <c r="D270">
        <v>771</v>
      </c>
      <c r="E270">
        <v>0.69599999999999995</v>
      </c>
      <c r="F270">
        <v>37.200000000000003</v>
      </c>
      <c r="G270">
        <v>41.6</v>
      </c>
      <c r="H270">
        <v>37</v>
      </c>
      <c r="I270">
        <v>33.1</v>
      </c>
      <c r="J270">
        <v>49.3</v>
      </c>
      <c r="K270">
        <f t="shared" si="8"/>
        <v>39.299999999999997</v>
      </c>
      <c r="L270" t="str">
        <f t="shared" si="9"/>
        <v>M</v>
      </c>
    </row>
    <row r="271" spans="1:12" x14ac:dyDescent="0.35">
      <c r="A271" t="s">
        <v>175</v>
      </c>
      <c r="B271" t="s">
        <v>76</v>
      </c>
      <c r="C271" t="s">
        <v>237</v>
      </c>
      <c r="D271">
        <v>198</v>
      </c>
      <c r="E271">
        <v>0.63800000000000001</v>
      </c>
      <c r="F271">
        <v>30.3</v>
      </c>
      <c r="G271">
        <v>28.8</v>
      </c>
      <c r="H271">
        <v>27.3</v>
      </c>
      <c r="I271">
        <v>34.799999999999997</v>
      </c>
      <c r="J271">
        <v>30</v>
      </c>
      <c r="K271">
        <f t="shared" si="8"/>
        <v>28.05</v>
      </c>
      <c r="L271" t="str">
        <f t="shared" si="9"/>
        <v>SH</v>
      </c>
    </row>
    <row r="272" spans="1:12" x14ac:dyDescent="0.35">
      <c r="A272" t="s">
        <v>175</v>
      </c>
      <c r="B272" t="s">
        <v>76</v>
      </c>
      <c r="C272" t="s">
        <v>238</v>
      </c>
      <c r="D272">
        <v>933</v>
      </c>
      <c r="E272">
        <v>0.74</v>
      </c>
      <c r="F272">
        <v>40.799999999999997</v>
      </c>
      <c r="G272">
        <v>35</v>
      </c>
      <c r="H272">
        <v>49.5</v>
      </c>
      <c r="I272">
        <v>37.9</v>
      </c>
      <c r="J272">
        <v>47.6</v>
      </c>
      <c r="K272">
        <f t="shared" si="8"/>
        <v>42.25</v>
      </c>
      <c r="L272" t="str">
        <f t="shared" si="9"/>
        <v>G</v>
      </c>
    </row>
    <row r="273" spans="1:12" x14ac:dyDescent="0.35">
      <c r="A273" t="s">
        <v>175</v>
      </c>
      <c r="B273" t="s">
        <v>76</v>
      </c>
      <c r="C273" t="s">
        <v>239</v>
      </c>
      <c r="D273">
        <v>1725</v>
      </c>
      <c r="E273">
        <v>0.69299999999999995</v>
      </c>
      <c r="F273">
        <v>34.5</v>
      </c>
      <c r="G273">
        <v>36.299999999999997</v>
      </c>
      <c r="H273">
        <v>36.5</v>
      </c>
      <c r="I273">
        <v>30.6</v>
      </c>
      <c r="J273">
        <v>47.3</v>
      </c>
      <c r="K273">
        <f t="shared" si="8"/>
        <v>36.4</v>
      </c>
      <c r="L273" t="str">
        <f t="shared" si="9"/>
        <v>F</v>
      </c>
    </row>
    <row r="274" spans="1:12" x14ac:dyDescent="0.35">
      <c r="A274" t="s">
        <v>175</v>
      </c>
      <c r="B274" t="s">
        <v>76</v>
      </c>
      <c r="C274" t="s">
        <v>240</v>
      </c>
      <c r="D274">
        <v>588</v>
      </c>
      <c r="E274">
        <v>0.74299999999999999</v>
      </c>
      <c r="F274">
        <v>36.6</v>
      </c>
      <c r="G274">
        <v>37.799999999999997</v>
      </c>
      <c r="H274">
        <v>34.200000000000003</v>
      </c>
      <c r="I274">
        <v>37.799999999999997</v>
      </c>
      <c r="J274">
        <v>44.4</v>
      </c>
      <c r="K274">
        <f t="shared" si="8"/>
        <v>36</v>
      </c>
      <c r="L274" t="str">
        <f t="shared" si="9"/>
        <v>M2-1</v>
      </c>
    </row>
    <row r="275" spans="1:12" x14ac:dyDescent="0.35">
      <c r="A275" t="s">
        <v>175</v>
      </c>
      <c r="B275" t="s">
        <v>76</v>
      </c>
      <c r="C275" t="s">
        <v>241</v>
      </c>
      <c r="D275">
        <v>273</v>
      </c>
      <c r="E275">
        <v>0.68500000000000005</v>
      </c>
      <c r="F275">
        <v>28.9</v>
      </c>
      <c r="G275">
        <v>36.299999999999997</v>
      </c>
      <c r="H275">
        <v>24.2</v>
      </c>
      <c r="I275">
        <v>26.4</v>
      </c>
      <c r="J275">
        <v>44.5</v>
      </c>
      <c r="K275">
        <f t="shared" si="8"/>
        <v>30.25</v>
      </c>
      <c r="L275" t="str">
        <f t="shared" si="9"/>
        <v>M2-2</v>
      </c>
    </row>
    <row r="276" spans="1:12" x14ac:dyDescent="0.35">
      <c r="A276" t="s">
        <v>175</v>
      </c>
      <c r="B276" t="s">
        <v>76</v>
      </c>
      <c r="C276" t="s">
        <v>242</v>
      </c>
      <c r="D276">
        <v>6501</v>
      </c>
      <c r="E276">
        <v>0.69499999999999995</v>
      </c>
      <c r="F276">
        <v>31.3</v>
      </c>
      <c r="G276">
        <v>36.5</v>
      </c>
      <c r="H276">
        <v>31.4</v>
      </c>
      <c r="I276">
        <v>25.9</v>
      </c>
      <c r="J276">
        <v>42.9</v>
      </c>
      <c r="K276">
        <f t="shared" si="8"/>
        <v>33.950000000000003</v>
      </c>
      <c r="L276" t="str">
        <f t="shared" si="9"/>
        <v>L</v>
      </c>
    </row>
    <row r="277" spans="1:12" x14ac:dyDescent="0.35">
      <c r="A277" t="s">
        <v>175</v>
      </c>
      <c r="B277" t="s">
        <v>85</v>
      </c>
      <c r="C277" t="s">
        <v>243</v>
      </c>
      <c r="D277">
        <v>420</v>
      </c>
      <c r="E277">
        <v>0.67900000000000005</v>
      </c>
      <c r="F277">
        <v>30.2</v>
      </c>
      <c r="G277">
        <v>36.4</v>
      </c>
      <c r="H277">
        <v>30.7</v>
      </c>
      <c r="I277">
        <v>23.6</v>
      </c>
      <c r="J277">
        <v>36.9</v>
      </c>
      <c r="K277">
        <f t="shared" si="8"/>
        <v>33.549999999999997</v>
      </c>
      <c r="L277" t="str">
        <f t="shared" si="9"/>
        <v>NS1</v>
      </c>
    </row>
    <row r="278" spans="1:12" x14ac:dyDescent="0.35">
      <c r="A278" t="s">
        <v>175</v>
      </c>
      <c r="B278" t="s">
        <v>85</v>
      </c>
      <c r="C278" t="s">
        <v>244</v>
      </c>
      <c r="D278">
        <v>375</v>
      </c>
      <c r="E278">
        <v>0.73499999999999999</v>
      </c>
      <c r="F278">
        <v>34.9</v>
      </c>
      <c r="G278">
        <v>31.2</v>
      </c>
      <c r="H278">
        <v>31.2</v>
      </c>
      <c r="I278">
        <v>42.4</v>
      </c>
      <c r="J278">
        <v>40.299999999999997</v>
      </c>
      <c r="K278">
        <f t="shared" si="8"/>
        <v>31.2</v>
      </c>
      <c r="L278" t="str">
        <f t="shared" si="9"/>
        <v>NS2</v>
      </c>
    </row>
    <row r="279" spans="1:12" x14ac:dyDescent="0.35">
      <c r="A279" t="s">
        <v>175</v>
      </c>
      <c r="B279" t="s">
        <v>85</v>
      </c>
      <c r="C279" t="s">
        <v>245</v>
      </c>
      <c r="D279">
        <v>1176</v>
      </c>
      <c r="E279">
        <v>0.67900000000000005</v>
      </c>
      <c r="F279">
        <v>37.200000000000003</v>
      </c>
      <c r="G279">
        <v>48.7</v>
      </c>
      <c r="H279">
        <v>33.4</v>
      </c>
      <c r="I279">
        <v>29.3</v>
      </c>
      <c r="J279">
        <v>44.6</v>
      </c>
      <c r="K279">
        <f t="shared" si="8"/>
        <v>41.05</v>
      </c>
      <c r="L279" t="str">
        <f t="shared" si="9"/>
        <v>N</v>
      </c>
    </row>
    <row r="280" spans="1:12" x14ac:dyDescent="0.35">
      <c r="A280" t="s">
        <v>175</v>
      </c>
      <c r="B280" t="s">
        <v>85</v>
      </c>
      <c r="C280" t="s">
        <v>246</v>
      </c>
      <c r="D280">
        <v>726</v>
      </c>
      <c r="E280">
        <v>0.73399999999999999</v>
      </c>
      <c r="F280">
        <v>37.6</v>
      </c>
      <c r="G280">
        <v>44.2</v>
      </c>
      <c r="H280">
        <v>36.4</v>
      </c>
      <c r="I280">
        <v>32.200000000000003</v>
      </c>
      <c r="J280">
        <v>46</v>
      </c>
      <c r="K280">
        <f t="shared" si="8"/>
        <v>40.299999999999997</v>
      </c>
      <c r="L280" t="str">
        <f t="shared" si="9"/>
        <v>P</v>
      </c>
    </row>
    <row r="281" spans="1:12" x14ac:dyDescent="0.35">
      <c r="A281" t="s">
        <v>175</v>
      </c>
      <c r="B281" t="s">
        <v>85</v>
      </c>
      <c r="C281" t="s">
        <v>247</v>
      </c>
      <c r="D281">
        <v>771</v>
      </c>
      <c r="E281">
        <v>0.7</v>
      </c>
      <c r="F281">
        <v>37.1</v>
      </c>
      <c r="G281">
        <v>41.2</v>
      </c>
      <c r="H281">
        <v>36.6</v>
      </c>
      <c r="I281">
        <v>33.5</v>
      </c>
      <c r="J281">
        <v>50.3</v>
      </c>
      <c r="K281">
        <f t="shared" si="8"/>
        <v>38.900000000000006</v>
      </c>
      <c r="L281" t="str">
        <f t="shared" si="9"/>
        <v>M</v>
      </c>
    </row>
    <row r="282" spans="1:12" x14ac:dyDescent="0.35">
      <c r="A282" t="s">
        <v>175</v>
      </c>
      <c r="B282" t="s">
        <v>85</v>
      </c>
      <c r="C282" t="s">
        <v>248</v>
      </c>
      <c r="D282">
        <v>198</v>
      </c>
      <c r="E282">
        <v>0.65</v>
      </c>
      <c r="F282">
        <v>29.8</v>
      </c>
      <c r="G282">
        <v>28.8</v>
      </c>
      <c r="H282">
        <v>27.3</v>
      </c>
      <c r="I282">
        <v>33.299999999999997</v>
      </c>
      <c r="J282">
        <v>33.9</v>
      </c>
      <c r="K282">
        <f t="shared" si="8"/>
        <v>28.05</v>
      </c>
      <c r="L282" t="str">
        <f t="shared" si="9"/>
        <v>SH</v>
      </c>
    </row>
    <row r="283" spans="1:12" x14ac:dyDescent="0.35">
      <c r="A283" t="s">
        <v>175</v>
      </c>
      <c r="B283" t="s">
        <v>85</v>
      </c>
      <c r="C283" t="s">
        <v>249</v>
      </c>
      <c r="D283">
        <v>933</v>
      </c>
      <c r="E283">
        <v>0.74199999999999999</v>
      </c>
      <c r="F283">
        <v>39.9</v>
      </c>
      <c r="G283">
        <v>34.4</v>
      </c>
      <c r="H283">
        <v>48.2</v>
      </c>
      <c r="I283">
        <v>37</v>
      </c>
      <c r="J283">
        <v>44.6</v>
      </c>
      <c r="K283">
        <f t="shared" si="8"/>
        <v>41.3</v>
      </c>
      <c r="L283" t="str">
        <f t="shared" si="9"/>
        <v>G</v>
      </c>
    </row>
    <row r="284" spans="1:12" x14ac:dyDescent="0.35">
      <c r="A284" t="s">
        <v>175</v>
      </c>
      <c r="B284" t="s">
        <v>85</v>
      </c>
      <c r="C284" t="s">
        <v>250</v>
      </c>
      <c r="D284">
        <v>1725</v>
      </c>
      <c r="E284">
        <v>0.69399999999999995</v>
      </c>
      <c r="F284">
        <v>34.4</v>
      </c>
      <c r="G284">
        <v>36.299999999999997</v>
      </c>
      <c r="H284">
        <v>36.700000000000003</v>
      </c>
      <c r="I284">
        <v>30.1</v>
      </c>
      <c r="J284">
        <v>47.1</v>
      </c>
      <c r="K284">
        <f t="shared" si="8"/>
        <v>36.5</v>
      </c>
      <c r="L284" t="str">
        <f t="shared" si="9"/>
        <v>F</v>
      </c>
    </row>
    <row r="285" spans="1:12" x14ac:dyDescent="0.35">
      <c r="A285" t="s">
        <v>175</v>
      </c>
      <c r="B285" t="s">
        <v>85</v>
      </c>
      <c r="C285" t="s">
        <v>251</v>
      </c>
      <c r="D285">
        <v>588</v>
      </c>
      <c r="E285">
        <v>0.73399999999999999</v>
      </c>
      <c r="F285">
        <v>36.200000000000003</v>
      </c>
      <c r="G285">
        <v>38.299999999999997</v>
      </c>
      <c r="H285">
        <v>34.200000000000003</v>
      </c>
      <c r="I285">
        <v>36.200000000000003</v>
      </c>
      <c r="J285">
        <v>44.8</v>
      </c>
      <c r="K285">
        <f t="shared" si="8"/>
        <v>36.25</v>
      </c>
      <c r="L285" t="str">
        <f t="shared" si="9"/>
        <v>M2-1</v>
      </c>
    </row>
    <row r="286" spans="1:12" x14ac:dyDescent="0.35">
      <c r="A286" t="s">
        <v>175</v>
      </c>
      <c r="B286" t="s">
        <v>85</v>
      </c>
      <c r="C286" t="s">
        <v>252</v>
      </c>
      <c r="D286">
        <v>273</v>
      </c>
      <c r="E286">
        <v>0.69299999999999995</v>
      </c>
      <c r="F286">
        <v>28.6</v>
      </c>
      <c r="G286">
        <v>35.200000000000003</v>
      </c>
      <c r="H286">
        <v>24.2</v>
      </c>
      <c r="I286">
        <v>26.4</v>
      </c>
      <c r="J286">
        <v>41.3</v>
      </c>
      <c r="K286">
        <f t="shared" si="8"/>
        <v>29.700000000000003</v>
      </c>
      <c r="L286" t="str">
        <f t="shared" si="9"/>
        <v>M2-2</v>
      </c>
    </row>
    <row r="287" spans="1:12" x14ac:dyDescent="0.35">
      <c r="A287" t="s">
        <v>175</v>
      </c>
      <c r="B287" t="s">
        <v>85</v>
      </c>
      <c r="C287" t="s">
        <v>253</v>
      </c>
      <c r="D287">
        <v>6501</v>
      </c>
      <c r="E287">
        <v>0.69499999999999995</v>
      </c>
      <c r="F287">
        <v>31.1</v>
      </c>
      <c r="G287">
        <v>36.5</v>
      </c>
      <c r="H287">
        <v>31.4</v>
      </c>
      <c r="I287">
        <v>25.5</v>
      </c>
      <c r="J287">
        <v>42.8</v>
      </c>
      <c r="K287">
        <f t="shared" si="8"/>
        <v>33.950000000000003</v>
      </c>
      <c r="L287" t="str">
        <f t="shared" si="9"/>
        <v>L</v>
      </c>
    </row>
    <row r="288" spans="1:12" x14ac:dyDescent="0.35">
      <c r="A288" t="s">
        <v>175</v>
      </c>
      <c r="B288" t="s">
        <v>89</v>
      </c>
      <c r="C288" t="s">
        <v>254</v>
      </c>
      <c r="D288">
        <v>420</v>
      </c>
      <c r="E288">
        <v>0.68400000000000005</v>
      </c>
      <c r="F288">
        <v>31.4</v>
      </c>
      <c r="G288">
        <v>37.1</v>
      </c>
      <c r="H288">
        <v>30</v>
      </c>
      <c r="I288">
        <v>27.1</v>
      </c>
      <c r="J288">
        <v>40.200000000000003</v>
      </c>
      <c r="K288">
        <f t="shared" si="8"/>
        <v>33.549999999999997</v>
      </c>
      <c r="L288" t="str">
        <f t="shared" si="9"/>
        <v>NS1</v>
      </c>
    </row>
    <row r="289" spans="1:12" x14ac:dyDescent="0.35">
      <c r="A289" t="s">
        <v>175</v>
      </c>
      <c r="B289" t="s">
        <v>89</v>
      </c>
      <c r="C289" t="s">
        <v>255</v>
      </c>
      <c r="D289">
        <v>375</v>
      </c>
      <c r="E289">
        <v>0.73899999999999999</v>
      </c>
      <c r="F289">
        <v>35.200000000000003</v>
      </c>
      <c r="G289">
        <v>32</v>
      </c>
      <c r="H289">
        <v>31.2</v>
      </c>
      <c r="I289">
        <v>42.4</v>
      </c>
      <c r="J289">
        <v>41.2</v>
      </c>
      <c r="K289">
        <f t="shared" si="8"/>
        <v>31.6</v>
      </c>
      <c r="L289" t="str">
        <f t="shared" si="9"/>
        <v>NS2</v>
      </c>
    </row>
    <row r="290" spans="1:12" x14ac:dyDescent="0.35">
      <c r="A290" t="s">
        <v>175</v>
      </c>
      <c r="B290" t="s">
        <v>89</v>
      </c>
      <c r="C290" t="s">
        <v>256</v>
      </c>
      <c r="D290">
        <v>1176</v>
      </c>
      <c r="E290">
        <v>0.68200000000000005</v>
      </c>
      <c r="F290">
        <v>37.6</v>
      </c>
      <c r="G290">
        <v>49</v>
      </c>
      <c r="H290">
        <v>33.4</v>
      </c>
      <c r="I290">
        <v>30.4</v>
      </c>
      <c r="J290">
        <v>45.2</v>
      </c>
      <c r="K290">
        <f t="shared" si="8"/>
        <v>41.2</v>
      </c>
      <c r="L290" t="str">
        <f t="shared" si="9"/>
        <v>N</v>
      </c>
    </row>
    <row r="291" spans="1:12" x14ac:dyDescent="0.35">
      <c r="A291" t="s">
        <v>175</v>
      </c>
      <c r="B291" t="s">
        <v>89</v>
      </c>
      <c r="C291" t="s">
        <v>39</v>
      </c>
      <c r="D291">
        <v>726</v>
      </c>
      <c r="E291">
        <v>0.73399999999999999</v>
      </c>
      <c r="F291">
        <v>37.6</v>
      </c>
      <c r="G291">
        <v>44.2</v>
      </c>
      <c r="H291">
        <v>36.4</v>
      </c>
      <c r="I291">
        <v>32.200000000000003</v>
      </c>
      <c r="J291">
        <v>46.4</v>
      </c>
      <c r="K291">
        <f t="shared" si="8"/>
        <v>40.299999999999997</v>
      </c>
      <c r="L291" t="str">
        <f t="shared" si="9"/>
        <v>P</v>
      </c>
    </row>
    <row r="292" spans="1:12" x14ac:dyDescent="0.35">
      <c r="A292" t="s">
        <v>175</v>
      </c>
      <c r="B292" t="s">
        <v>89</v>
      </c>
      <c r="C292" t="s">
        <v>257</v>
      </c>
      <c r="D292">
        <v>771</v>
      </c>
      <c r="E292">
        <v>0.70099999999999996</v>
      </c>
      <c r="F292">
        <v>37.200000000000003</v>
      </c>
      <c r="G292">
        <v>41.2</v>
      </c>
      <c r="H292">
        <v>37</v>
      </c>
      <c r="I292">
        <v>33.5</v>
      </c>
      <c r="J292">
        <v>49.2</v>
      </c>
      <c r="K292">
        <f t="shared" si="8"/>
        <v>39.1</v>
      </c>
      <c r="L292" t="str">
        <f t="shared" si="9"/>
        <v>M</v>
      </c>
    </row>
    <row r="293" spans="1:12" x14ac:dyDescent="0.35">
      <c r="A293" t="s">
        <v>175</v>
      </c>
      <c r="B293" t="s">
        <v>89</v>
      </c>
      <c r="C293" t="s">
        <v>258</v>
      </c>
      <c r="D293">
        <v>198</v>
      </c>
      <c r="E293">
        <v>0.65</v>
      </c>
      <c r="F293">
        <v>29.8</v>
      </c>
      <c r="G293">
        <v>28.8</v>
      </c>
      <c r="H293">
        <v>27.3</v>
      </c>
      <c r="I293">
        <v>33.299999999999997</v>
      </c>
      <c r="J293">
        <v>33.9</v>
      </c>
      <c r="K293">
        <f t="shared" si="8"/>
        <v>28.05</v>
      </c>
      <c r="L293" t="str">
        <f t="shared" si="9"/>
        <v>SH</v>
      </c>
    </row>
    <row r="294" spans="1:12" x14ac:dyDescent="0.35">
      <c r="A294" t="s">
        <v>175</v>
      </c>
      <c r="B294" t="s">
        <v>89</v>
      </c>
      <c r="C294" t="s">
        <v>259</v>
      </c>
      <c r="D294">
        <v>933</v>
      </c>
      <c r="E294">
        <v>0.753</v>
      </c>
      <c r="F294">
        <v>40.799999999999997</v>
      </c>
      <c r="G294">
        <v>34.700000000000003</v>
      </c>
      <c r="H294">
        <v>49.5</v>
      </c>
      <c r="I294">
        <v>38.299999999999997</v>
      </c>
      <c r="J294">
        <v>45.7</v>
      </c>
      <c r="K294">
        <f t="shared" si="8"/>
        <v>42.1</v>
      </c>
      <c r="L294" t="str">
        <f t="shared" si="9"/>
        <v>G</v>
      </c>
    </row>
    <row r="295" spans="1:12" x14ac:dyDescent="0.35">
      <c r="A295" t="s">
        <v>175</v>
      </c>
      <c r="B295" t="s">
        <v>89</v>
      </c>
      <c r="C295" t="s">
        <v>260</v>
      </c>
      <c r="D295">
        <v>1725</v>
      </c>
      <c r="E295">
        <v>0.69399999999999995</v>
      </c>
      <c r="F295">
        <v>34.6</v>
      </c>
      <c r="G295">
        <v>36.299999999999997</v>
      </c>
      <c r="H295">
        <v>36.700000000000003</v>
      </c>
      <c r="I295">
        <v>30.6</v>
      </c>
      <c r="J295">
        <v>47.6</v>
      </c>
      <c r="K295">
        <f t="shared" si="8"/>
        <v>36.5</v>
      </c>
      <c r="L295" t="str">
        <f t="shared" si="9"/>
        <v>F</v>
      </c>
    </row>
    <row r="296" spans="1:12" x14ac:dyDescent="0.35">
      <c r="A296" t="s">
        <v>175</v>
      </c>
      <c r="B296" t="s">
        <v>89</v>
      </c>
      <c r="C296" t="s">
        <v>261</v>
      </c>
      <c r="D296">
        <v>588</v>
      </c>
      <c r="E296">
        <v>0.73399999999999999</v>
      </c>
      <c r="F296">
        <v>36.4</v>
      </c>
      <c r="G296">
        <v>38.299999999999997</v>
      </c>
      <c r="H296">
        <v>34.200000000000003</v>
      </c>
      <c r="I296">
        <v>36.700000000000003</v>
      </c>
      <c r="J296">
        <v>45</v>
      </c>
      <c r="K296">
        <f t="shared" si="8"/>
        <v>36.25</v>
      </c>
      <c r="L296" t="str">
        <f t="shared" si="9"/>
        <v>M2-1</v>
      </c>
    </row>
    <row r="297" spans="1:12" x14ac:dyDescent="0.35">
      <c r="A297" t="s">
        <v>175</v>
      </c>
      <c r="B297" t="s">
        <v>89</v>
      </c>
      <c r="C297" t="s">
        <v>262</v>
      </c>
      <c r="D297">
        <v>273</v>
      </c>
      <c r="E297">
        <v>0.69299999999999995</v>
      </c>
      <c r="F297">
        <v>28.6</v>
      </c>
      <c r="G297">
        <v>35.200000000000003</v>
      </c>
      <c r="H297">
        <v>24.2</v>
      </c>
      <c r="I297">
        <v>26.4</v>
      </c>
      <c r="J297">
        <v>41.3</v>
      </c>
      <c r="K297">
        <f t="shared" si="8"/>
        <v>29.700000000000003</v>
      </c>
      <c r="L297" t="str">
        <f t="shared" si="9"/>
        <v>M2-2</v>
      </c>
    </row>
    <row r="298" spans="1:12" x14ac:dyDescent="0.35">
      <c r="A298" t="s">
        <v>175</v>
      </c>
      <c r="B298" t="s">
        <v>89</v>
      </c>
      <c r="C298" t="s">
        <v>263</v>
      </c>
      <c r="D298">
        <v>6501</v>
      </c>
      <c r="E298">
        <v>0.69499999999999995</v>
      </c>
      <c r="F298">
        <v>31.2</v>
      </c>
      <c r="G298">
        <v>36.5</v>
      </c>
      <c r="H298">
        <v>31.5</v>
      </c>
      <c r="I298">
        <v>25.7</v>
      </c>
      <c r="J298">
        <v>42.8</v>
      </c>
      <c r="K298">
        <f t="shared" si="8"/>
        <v>34</v>
      </c>
      <c r="L298" t="str">
        <f t="shared" si="9"/>
        <v>L</v>
      </c>
    </row>
    <row r="299" spans="1:12" x14ac:dyDescent="0.35">
      <c r="A299" t="s">
        <v>175</v>
      </c>
      <c r="B299" t="s">
        <v>101</v>
      </c>
      <c r="C299" t="s">
        <v>36</v>
      </c>
      <c r="D299">
        <v>420</v>
      </c>
      <c r="E299">
        <v>0.68</v>
      </c>
      <c r="F299">
        <v>30.2</v>
      </c>
      <c r="G299">
        <v>36.4</v>
      </c>
      <c r="H299">
        <v>30</v>
      </c>
      <c r="I299">
        <v>24.3</v>
      </c>
      <c r="J299">
        <v>37.9</v>
      </c>
      <c r="K299">
        <f t="shared" si="8"/>
        <v>33.200000000000003</v>
      </c>
      <c r="L299" t="str">
        <f t="shared" si="9"/>
        <v>NS1</v>
      </c>
    </row>
    <row r="300" spans="1:12" x14ac:dyDescent="0.35">
      <c r="A300" t="s">
        <v>175</v>
      </c>
      <c r="B300" t="s">
        <v>101</v>
      </c>
      <c r="C300" t="s">
        <v>264</v>
      </c>
      <c r="D300">
        <v>375</v>
      </c>
      <c r="E300">
        <v>0.73699999999999999</v>
      </c>
      <c r="F300">
        <v>34.700000000000003</v>
      </c>
      <c r="G300">
        <v>31.2</v>
      </c>
      <c r="H300">
        <v>31.2</v>
      </c>
      <c r="I300">
        <v>41.6</v>
      </c>
      <c r="J300">
        <v>41.2</v>
      </c>
      <c r="K300">
        <f t="shared" si="8"/>
        <v>31.2</v>
      </c>
      <c r="L300" t="str">
        <f t="shared" si="9"/>
        <v>NS2</v>
      </c>
    </row>
    <row r="301" spans="1:12" x14ac:dyDescent="0.35">
      <c r="A301" t="s">
        <v>175</v>
      </c>
      <c r="B301" t="s">
        <v>101</v>
      </c>
      <c r="C301" t="s">
        <v>38</v>
      </c>
      <c r="D301">
        <v>1176</v>
      </c>
      <c r="E301">
        <v>0.67900000000000005</v>
      </c>
      <c r="F301">
        <v>37.200000000000003</v>
      </c>
      <c r="G301">
        <v>49</v>
      </c>
      <c r="H301">
        <v>33.4</v>
      </c>
      <c r="I301">
        <v>29.1</v>
      </c>
      <c r="J301">
        <v>45.1</v>
      </c>
      <c r="K301">
        <f t="shared" si="8"/>
        <v>41.2</v>
      </c>
      <c r="L301" t="str">
        <f t="shared" si="9"/>
        <v>N</v>
      </c>
    </row>
    <row r="302" spans="1:12" x14ac:dyDescent="0.35">
      <c r="A302" t="s">
        <v>175</v>
      </c>
      <c r="B302" t="s">
        <v>101</v>
      </c>
      <c r="C302" t="s">
        <v>68</v>
      </c>
      <c r="D302">
        <v>726</v>
      </c>
      <c r="E302">
        <v>0.72599999999999998</v>
      </c>
      <c r="F302">
        <v>37.200000000000003</v>
      </c>
      <c r="G302">
        <v>44.6</v>
      </c>
      <c r="H302">
        <v>36.4</v>
      </c>
      <c r="I302">
        <v>30.6</v>
      </c>
      <c r="J302">
        <v>45.1</v>
      </c>
      <c r="K302">
        <f t="shared" si="8"/>
        <v>40.5</v>
      </c>
      <c r="L302" t="str">
        <f t="shared" si="9"/>
        <v>P</v>
      </c>
    </row>
    <row r="303" spans="1:12" x14ac:dyDescent="0.35">
      <c r="A303" t="s">
        <v>175</v>
      </c>
      <c r="B303" t="s">
        <v>101</v>
      </c>
      <c r="C303" t="s">
        <v>265</v>
      </c>
      <c r="D303">
        <v>771</v>
      </c>
      <c r="E303">
        <v>0.68799999999999994</v>
      </c>
      <c r="F303">
        <v>37</v>
      </c>
      <c r="G303">
        <v>41.6</v>
      </c>
      <c r="H303">
        <v>37</v>
      </c>
      <c r="I303">
        <v>32.299999999999997</v>
      </c>
      <c r="J303">
        <v>49.8</v>
      </c>
      <c r="K303">
        <f t="shared" si="8"/>
        <v>39.299999999999997</v>
      </c>
      <c r="L303" t="str">
        <f t="shared" si="9"/>
        <v>M</v>
      </c>
    </row>
    <row r="304" spans="1:12" x14ac:dyDescent="0.35">
      <c r="A304" t="s">
        <v>175</v>
      </c>
      <c r="B304" t="s">
        <v>101</v>
      </c>
      <c r="C304" t="s">
        <v>266</v>
      </c>
      <c r="D304">
        <v>198</v>
      </c>
      <c r="E304">
        <v>0.65600000000000003</v>
      </c>
      <c r="F304">
        <v>29.3</v>
      </c>
      <c r="G304">
        <v>27.3</v>
      </c>
      <c r="H304">
        <v>28.8</v>
      </c>
      <c r="I304">
        <v>31.8</v>
      </c>
      <c r="J304">
        <v>33.299999999999997</v>
      </c>
      <c r="K304">
        <f t="shared" si="8"/>
        <v>28.05</v>
      </c>
      <c r="L304" t="str">
        <f t="shared" si="9"/>
        <v>SH</v>
      </c>
    </row>
    <row r="305" spans="1:12" x14ac:dyDescent="0.35">
      <c r="A305" t="s">
        <v>175</v>
      </c>
      <c r="B305" t="s">
        <v>101</v>
      </c>
      <c r="C305" t="s">
        <v>267</v>
      </c>
      <c r="D305">
        <v>954</v>
      </c>
      <c r="E305">
        <v>0.75</v>
      </c>
      <c r="F305">
        <v>40.9</v>
      </c>
      <c r="G305">
        <v>35.5</v>
      </c>
      <c r="H305">
        <v>49.1</v>
      </c>
      <c r="I305">
        <v>38.1</v>
      </c>
      <c r="J305">
        <v>44</v>
      </c>
      <c r="K305">
        <f t="shared" si="8"/>
        <v>42.3</v>
      </c>
      <c r="L305" t="str">
        <f t="shared" si="9"/>
        <v>G</v>
      </c>
    </row>
    <row r="306" spans="1:12" x14ac:dyDescent="0.35">
      <c r="A306" t="s">
        <v>175</v>
      </c>
      <c r="B306" t="s">
        <v>101</v>
      </c>
      <c r="C306" t="s">
        <v>268</v>
      </c>
      <c r="D306">
        <v>1725</v>
      </c>
      <c r="E306">
        <v>0.69499999999999995</v>
      </c>
      <c r="F306">
        <v>34.799999999999997</v>
      </c>
      <c r="G306">
        <v>36.5</v>
      </c>
      <c r="H306">
        <v>36.700000000000003</v>
      </c>
      <c r="I306">
        <v>31.1</v>
      </c>
      <c r="J306">
        <v>48.5</v>
      </c>
      <c r="K306">
        <f t="shared" si="8"/>
        <v>36.6</v>
      </c>
      <c r="L306" t="str">
        <f t="shared" si="9"/>
        <v>F</v>
      </c>
    </row>
    <row r="307" spans="1:12" x14ac:dyDescent="0.35">
      <c r="A307" t="s">
        <v>175</v>
      </c>
      <c r="B307" t="s">
        <v>101</v>
      </c>
      <c r="C307" t="s">
        <v>269</v>
      </c>
      <c r="D307">
        <v>588</v>
      </c>
      <c r="E307">
        <v>0.73199999999999998</v>
      </c>
      <c r="F307">
        <v>36.6</v>
      </c>
      <c r="G307">
        <v>39.299999999999997</v>
      </c>
      <c r="H307">
        <v>33.700000000000003</v>
      </c>
      <c r="I307">
        <v>36.700000000000003</v>
      </c>
      <c r="J307">
        <v>47.1</v>
      </c>
      <c r="K307">
        <f t="shared" si="8"/>
        <v>36.5</v>
      </c>
      <c r="L307" t="str">
        <f t="shared" si="9"/>
        <v>M2-1</v>
      </c>
    </row>
    <row r="308" spans="1:12" x14ac:dyDescent="0.35">
      <c r="A308" t="s">
        <v>175</v>
      </c>
      <c r="B308" t="s">
        <v>101</v>
      </c>
      <c r="C308" t="s">
        <v>270</v>
      </c>
      <c r="D308">
        <v>273</v>
      </c>
      <c r="E308">
        <v>0.69899999999999995</v>
      </c>
      <c r="F308">
        <v>29.3</v>
      </c>
      <c r="G308">
        <v>35.200000000000003</v>
      </c>
      <c r="H308">
        <v>24.2</v>
      </c>
      <c r="I308">
        <v>28.6</v>
      </c>
      <c r="J308">
        <v>43.7</v>
      </c>
      <c r="K308">
        <f t="shared" si="8"/>
        <v>29.700000000000003</v>
      </c>
      <c r="L308" t="str">
        <f t="shared" si="9"/>
        <v>M2-2</v>
      </c>
    </row>
    <row r="309" spans="1:12" x14ac:dyDescent="0.35">
      <c r="A309" t="s">
        <v>175</v>
      </c>
      <c r="B309" t="s">
        <v>101</v>
      </c>
      <c r="C309" t="s">
        <v>271</v>
      </c>
      <c r="D309">
        <v>6501</v>
      </c>
      <c r="E309">
        <v>0.69499999999999995</v>
      </c>
      <c r="F309">
        <v>31.2</v>
      </c>
      <c r="G309">
        <v>36.5</v>
      </c>
      <c r="H309">
        <v>31.4</v>
      </c>
      <c r="I309">
        <v>25.7</v>
      </c>
      <c r="J309">
        <v>42.9</v>
      </c>
      <c r="K309">
        <f t="shared" si="8"/>
        <v>33.950000000000003</v>
      </c>
      <c r="L309" t="str">
        <f t="shared" si="9"/>
        <v>L</v>
      </c>
    </row>
    <row r="310" spans="1:12" x14ac:dyDescent="0.35">
      <c r="A310" t="s">
        <v>175</v>
      </c>
      <c r="B310" t="s">
        <v>110</v>
      </c>
      <c r="C310" t="s">
        <v>243</v>
      </c>
      <c r="D310">
        <v>420</v>
      </c>
      <c r="E310">
        <v>0.68200000000000005</v>
      </c>
      <c r="F310">
        <v>30</v>
      </c>
      <c r="G310">
        <v>35.700000000000003</v>
      </c>
      <c r="H310">
        <v>30</v>
      </c>
      <c r="I310">
        <v>24.3</v>
      </c>
      <c r="J310">
        <v>34.1</v>
      </c>
      <c r="K310">
        <f t="shared" si="8"/>
        <v>32.85</v>
      </c>
      <c r="L310" t="str">
        <f t="shared" si="9"/>
        <v>NS1</v>
      </c>
    </row>
    <row r="311" spans="1:12" x14ac:dyDescent="0.35">
      <c r="A311" t="s">
        <v>175</v>
      </c>
      <c r="B311" t="s">
        <v>110</v>
      </c>
      <c r="C311" t="s">
        <v>244</v>
      </c>
      <c r="D311">
        <v>375</v>
      </c>
      <c r="E311">
        <v>0.74</v>
      </c>
      <c r="F311">
        <v>35.200000000000003</v>
      </c>
      <c r="G311">
        <v>31.2</v>
      </c>
      <c r="H311">
        <v>31.2</v>
      </c>
      <c r="I311">
        <v>43.2</v>
      </c>
      <c r="J311">
        <v>40.700000000000003</v>
      </c>
      <c r="K311">
        <f t="shared" si="8"/>
        <v>31.2</v>
      </c>
      <c r="L311" t="str">
        <f t="shared" si="9"/>
        <v>NS2</v>
      </c>
    </row>
    <row r="312" spans="1:12" x14ac:dyDescent="0.35">
      <c r="A312" t="s">
        <v>175</v>
      </c>
      <c r="B312" t="s">
        <v>110</v>
      </c>
      <c r="C312" t="s">
        <v>245</v>
      </c>
      <c r="D312">
        <v>1176</v>
      </c>
      <c r="E312">
        <v>0.68</v>
      </c>
      <c r="F312">
        <v>37.299999999999997</v>
      </c>
      <c r="G312">
        <v>48.7</v>
      </c>
      <c r="H312">
        <v>33.4</v>
      </c>
      <c r="I312">
        <v>29.8</v>
      </c>
      <c r="J312">
        <v>44.7</v>
      </c>
      <c r="K312">
        <f t="shared" si="8"/>
        <v>41.05</v>
      </c>
      <c r="L312" t="str">
        <f t="shared" si="9"/>
        <v>N</v>
      </c>
    </row>
    <row r="313" spans="1:12" x14ac:dyDescent="0.35">
      <c r="A313" t="s">
        <v>175</v>
      </c>
      <c r="B313" t="s">
        <v>110</v>
      </c>
      <c r="C313" t="s">
        <v>246</v>
      </c>
      <c r="D313">
        <v>726</v>
      </c>
      <c r="E313">
        <v>0.73599999999999999</v>
      </c>
      <c r="F313">
        <v>37.9</v>
      </c>
      <c r="G313">
        <v>44.2</v>
      </c>
      <c r="H313">
        <v>36.4</v>
      </c>
      <c r="I313">
        <v>33.1</v>
      </c>
      <c r="J313">
        <v>46.2</v>
      </c>
      <c r="K313">
        <f t="shared" si="8"/>
        <v>40.299999999999997</v>
      </c>
      <c r="L313" t="str">
        <f t="shared" si="9"/>
        <v>P</v>
      </c>
    </row>
    <row r="314" spans="1:12" x14ac:dyDescent="0.35">
      <c r="A314" t="s">
        <v>175</v>
      </c>
      <c r="B314" t="s">
        <v>110</v>
      </c>
      <c r="C314" t="s">
        <v>247</v>
      </c>
      <c r="D314">
        <v>771</v>
      </c>
      <c r="E314">
        <v>0.7</v>
      </c>
      <c r="F314">
        <v>37.1</v>
      </c>
      <c r="G314">
        <v>41.2</v>
      </c>
      <c r="H314">
        <v>37</v>
      </c>
      <c r="I314">
        <v>33.1</v>
      </c>
      <c r="J314">
        <v>49.2</v>
      </c>
      <c r="K314">
        <f t="shared" si="8"/>
        <v>39.1</v>
      </c>
      <c r="L314" t="str">
        <f t="shared" si="9"/>
        <v>M</v>
      </c>
    </row>
    <row r="315" spans="1:12" x14ac:dyDescent="0.35">
      <c r="A315" t="s">
        <v>175</v>
      </c>
      <c r="B315" t="s">
        <v>110</v>
      </c>
      <c r="C315" t="s">
        <v>248</v>
      </c>
      <c r="D315">
        <v>198</v>
      </c>
      <c r="E315">
        <v>0.65100000000000002</v>
      </c>
      <c r="F315">
        <v>30.3</v>
      </c>
      <c r="G315">
        <v>28.8</v>
      </c>
      <c r="H315">
        <v>27.3</v>
      </c>
      <c r="I315">
        <v>34.799999999999997</v>
      </c>
      <c r="J315">
        <v>32.1</v>
      </c>
      <c r="K315">
        <f t="shared" si="8"/>
        <v>28.05</v>
      </c>
      <c r="L315" t="str">
        <f t="shared" si="9"/>
        <v>SH</v>
      </c>
    </row>
    <row r="316" spans="1:12" x14ac:dyDescent="0.35">
      <c r="A316" t="s">
        <v>175</v>
      </c>
      <c r="B316" t="s">
        <v>110</v>
      </c>
      <c r="C316" t="s">
        <v>272</v>
      </c>
      <c r="D316">
        <v>933</v>
      </c>
      <c r="E316">
        <v>0.74399999999999999</v>
      </c>
      <c r="F316">
        <v>39.799999999999997</v>
      </c>
      <c r="G316">
        <v>34.700000000000003</v>
      </c>
      <c r="H316">
        <v>48.2</v>
      </c>
      <c r="I316">
        <v>36.299999999999997</v>
      </c>
      <c r="J316">
        <v>44.6</v>
      </c>
      <c r="K316">
        <f t="shared" si="8"/>
        <v>41.45</v>
      </c>
      <c r="L316" t="str">
        <f t="shared" si="9"/>
        <v>G</v>
      </c>
    </row>
    <row r="317" spans="1:12" x14ac:dyDescent="0.35">
      <c r="A317" t="s">
        <v>175</v>
      </c>
      <c r="B317" t="s">
        <v>110</v>
      </c>
      <c r="C317" t="s">
        <v>273</v>
      </c>
      <c r="D317">
        <v>1725</v>
      </c>
      <c r="E317">
        <v>0.69499999999999995</v>
      </c>
      <c r="F317">
        <v>34.799999999999997</v>
      </c>
      <c r="G317">
        <v>36.299999999999997</v>
      </c>
      <c r="H317">
        <v>36.9</v>
      </c>
      <c r="I317">
        <v>31.1</v>
      </c>
      <c r="J317">
        <v>48.2</v>
      </c>
      <c r="K317">
        <f t="shared" si="8"/>
        <v>36.599999999999994</v>
      </c>
      <c r="L317" t="str">
        <f t="shared" si="9"/>
        <v>F</v>
      </c>
    </row>
    <row r="318" spans="1:12" x14ac:dyDescent="0.35">
      <c r="A318" t="s">
        <v>175</v>
      </c>
      <c r="B318" t="s">
        <v>110</v>
      </c>
      <c r="C318" t="s">
        <v>274</v>
      </c>
      <c r="D318">
        <v>588</v>
      </c>
      <c r="E318">
        <v>0.73299999999999998</v>
      </c>
      <c r="F318">
        <v>36.1</v>
      </c>
      <c r="G318">
        <v>38.299999999999997</v>
      </c>
      <c r="H318">
        <v>34.200000000000003</v>
      </c>
      <c r="I318">
        <v>35.700000000000003</v>
      </c>
      <c r="J318">
        <v>44.7</v>
      </c>
      <c r="K318">
        <f t="shared" si="8"/>
        <v>36.25</v>
      </c>
      <c r="L318" t="str">
        <f t="shared" si="9"/>
        <v>M2-1</v>
      </c>
    </row>
    <row r="319" spans="1:12" x14ac:dyDescent="0.35">
      <c r="A319" t="s">
        <v>175</v>
      </c>
      <c r="B319" t="s">
        <v>110</v>
      </c>
      <c r="C319" t="s">
        <v>275</v>
      </c>
      <c r="D319">
        <v>273</v>
      </c>
      <c r="E319">
        <v>0.69299999999999995</v>
      </c>
      <c r="F319">
        <v>28.2</v>
      </c>
      <c r="G319">
        <v>34.1</v>
      </c>
      <c r="H319">
        <v>24.2</v>
      </c>
      <c r="I319">
        <v>26.4</v>
      </c>
      <c r="J319">
        <v>40.700000000000003</v>
      </c>
      <c r="K319">
        <f t="shared" si="8"/>
        <v>29.15</v>
      </c>
      <c r="L319" t="str">
        <f t="shared" si="9"/>
        <v>M2-2</v>
      </c>
    </row>
    <row r="320" spans="1:12" x14ac:dyDescent="0.35">
      <c r="A320" t="s">
        <v>175</v>
      </c>
      <c r="B320" t="s">
        <v>110</v>
      </c>
      <c r="C320" t="s">
        <v>276</v>
      </c>
      <c r="D320">
        <v>6501</v>
      </c>
      <c r="E320">
        <v>0.69599999999999995</v>
      </c>
      <c r="F320">
        <v>31.2</v>
      </c>
      <c r="G320">
        <v>36.299999999999997</v>
      </c>
      <c r="H320">
        <v>31.5</v>
      </c>
      <c r="I320">
        <v>25.8</v>
      </c>
      <c r="J320">
        <v>42.8</v>
      </c>
      <c r="K320">
        <f t="shared" si="8"/>
        <v>33.9</v>
      </c>
      <c r="L320" t="str">
        <f t="shared" si="9"/>
        <v>L</v>
      </c>
    </row>
    <row r="321" spans="1:12" x14ac:dyDescent="0.35">
      <c r="A321" t="s">
        <v>175</v>
      </c>
      <c r="B321" t="s">
        <v>122</v>
      </c>
      <c r="C321" t="s">
        <v>12</v>
      </c>
      <c r="D321">
        <v>420</v>
      </c>
      <c r="E321">
        <v>0.68200000000000005</v>
      </c>
      <c r="F321">
        <v>30.2</v>
      </c>
      <c r="G321">
        <v>36.4</v>
      </c>
      <c r="H321">
        <v>30</v>
      </c>
      <c r="I321">
        <v>24.3</v>
      </c>
      <c r="J321">
        <v>37.799999999999997</v>
      </c>
      <c r="K321">
        <f t="shared" si="8"/>
        <v>33.200000000000003</v>
      </c>
      <c r="L321" t="str">
        <f t="shared" si="9"/>
        <v>NS1</v>
      </c>
    </row>
    <row r="322" spans="1:12" x14ac:dyDescent="0.35">
      <c r="A322" t="s">
        <v>175</v>
      </c>
      <c r="B322" t="s">
        <v>122</v>
      </c>
      <c r="C322" t="s">
        <v>201</v>
      </c>
      <c r="D322">
        <v>375</v>
      </c>
      <c r="E322">
        <v>0.73799999999999999</v>
      </c>
      <c r="F322">
        <v>35.200000000000003</v>
      </c>
      <c r="G322">
        <v>31.2</v>
      </c>
      <c r="H322">
        <v>31.2</v>
      </c>
      <c r="I322">
        <v>43.2</v>
      </c>
      <c r="J322">
        <v>41.8</v>
      </c>
      <c r="K322">
        <f t="shared" si="8"/>
        <v>31.2</v>
      </c>
      <c r="L322" t="str">
        <f t="shared" si="9"/>
        <v>NS2</v>
      </c>
    </row>
    <row r="323" spans="1:12" x14ac:dyDescent="0.35">
      <c r="A323" t="s">
        <v>175</v>
      </c>
      <c r="B323" t="s">
        <v>122</v>
      </c>
      <c r="C323" t="s">
        <v>202</v>
      </c>
      <c r="D323">
        <v>1176</v>
      </c>
      <c r="E323">
        <v>0.67900000000000005</v>
      </c>
      <c r="F323">
        <v>37.200000000000003</v>
      </c>
      <c r="G323">
        <v>48.7</v>
      </c>
      <c r="H323">
        <v>33.4</v>
      </c>
      <c r="I323">
        <v>29.3</v>
      </c>
      <c r="J323">
        <v>44.6</v>
      </c>
      <c r="K323">
        <f t="shared" ref="K323:K386" si="10">(G323+H323)/2</f>
        <v>41.05</v>
      </c>
      <c r="L323" t="str">
        <f t="shared" ref="L323:L386" si="11">IF(ISNUMBER(SEARCH("M2-1",C323)),"M2-1",IF(ISNUMBER(SEARCH("M2-2",C323)),"M2-2",IF(LEFT(C323,3)="NS1","NS1",IF(LEFT(C323,3)="NS2","NS2",IF(LEFT(C323,2)="N_","N",IF(LEFT(C323,2)="P_","P",IF(LEFT(C323,2)="M_","M",IF(LEFT(C323,2)="SH","SH",IF(LEFT(C323,2)="G_","G",IF(LEFT(C323,2)="F_","F",IF(LEFT(C323,2)="L_","L","UNKNOWN")))))))))))</f>
        <v>N</v>
      </c>
    </row>
    <row r="324" spans="1:12" x14ac:dyDescent="0.35">
      <c r="A324" t="s">
        <v>175</v>
      </c>
      <c r="B324" t="s">
        <v>122</v>
      </c>
      <c r="C324" t="s">
        <v>15</v>
      </c>
      <c r="D324">
        <v>726</v>
      </c>
      <c r="E324">
        <v>0.73499999999999999</v>
      </c>
      <c r="F324">
        <v>37.700000000000003</v>
      </c>
      <c r="G324">
        <v>44.2</v>
      </c>
      <c r="H324">
        <v>36.4</v>
      </c>
      <c r="I324">
        <v>32.6</v>
      </c>
      <c r="J324">
        <v>46.1</v>
      </c>
      <c r="K324">
        <f t="shared" si="10"/>
        <v>40.299999999999997</v>
      </c>
      <c r="L324" t="str">
        <f t="shared" si="11"/>
        <v>P</v>
      </c>
    </row>
    <row r="325" spans="1:12" x14ac:dyDescent="0.35">
      <c r="A325" t="s">
        <v>175</v>
      </c>
      <c r="B325" t="s">
        <v>122</v>
      </c>
      <c r="C325" t="s">
        <v>203</v>
      </c>
      <c r="D325">
        <v>771</v>
      </c>
      <c r="E325">
        <v>0.70299999999999996</v>
      </c>
      <c r="F325">
        <v>37</v>
      </c>
      <c r="G325">
        <v>41.2</v>
      </c>
      <c r="H325">
        <v>37</v>
      </c>
      <c r="I325">
        <v>32.700000000000003</v>
      </c>
      <c r="J325">
        <v>48.9</v>
      </c>
      <c r="K325">
        <f t="shared" si="10"/>
        <v>39.1</v>
      </c>
      <c r="L325" t="str">
        <f t="shared" si="11"/>
        <v>M</v>
      </c>
    </row>
    <row r="326" spans="1:12" x14ac:dyDescent="0.35">
      <c r="A326" t="s">
        <v>175</v>
      </c>
      <c r="B326" t="s">
        <v>122</v>
      </c>
      <c r="C326" t="s">
        <v>204</v>
      </c>
      <c r="D326">
        <v>198</v>
      </c>
      <c r="E326">
        <v>0.65</v>
      </c>
      <c r="F326">
        <v>29.8</v>
      </c>
      <c r="G326">
        <v>28.8</v>
      </c>
      <c r="H326">
        <v>27.3</v>
      </c>
      <c r="I326">
        <v>33.299999999999997</v>
      </c>
      <c r="J326">
        <v>33.9</v>
      </c>
      <c r="K326">
        <f t="shared" si="10"/>
        <v>28.05</v>
      </c>
      <c r="L326" t="str">
        <f t="shared" si="11"/>
        <v>SH</v>
      </c>
    </row>
    <row r="327" spans="1:12" x14ac:dyDescent="0.35">
      <c r="A327" t="s">
        <v>175</v>
      </c>
      <c r="B327" t="s">
        <v>122</v>
      </c>
      <c r="C327" t="s">
        <v>205</v>
      </c>
      <c r="D327">
        <v>933</v>
      </c>
      <c r="E327">
        <v>0.74199999999999999</v>
      </c>
      <c r="F327">
        <v>40.9</v>
      </c>
      <c r="G327">
        <v>35.4</v>
      </c>
      <c r="H327">
        <v>49.5</v>
      </c>
      <c r="I327">
        <v>37.9</v>
      </c>
      <c r="J327">
        <v>44.8</v>
      </c>
      <c r="K327">
        <f t="shared" si="10"/>
        <v>42.45</v>
      </c>
      <c r="L327" t="str">
        <f t="shared" si="11"/>
        <v>G</v>
      </c>
    </row>
    <row r="328" spans="1:12" x14ac:dyDescent="0.35">
      <c r="A328" t="s">
        <v>175</v>
      </c>
      <c r="B328" t="s">
        <v>122</v>
      </c>
      <c r="C328" t="s">
        <v>206</v>
      </c>
      <c r="D328">
        <v>1725</v>
      </c>
      <c r="E328">
        <v>0.69599999999999995</v>
      </c>
      <c r="F328">
        <v>34.6</v>
      </c>
      <c r="G328">
        <v>36.299999999999997</v>
      </c>
      <c r="H328">
        <v>36.9</v>
      </c>
      <c r="I328">
        <v>30.6</v>
      </c>
      <c r="J328">
        <v>46.9</v>
      </c>
      <c r="K328">
        <f t="shared" si="10"/>
        <v>36.599999999999994</v>
      </c>
      <c r="L328" t="str">
        <f t="shared" si="11"/>
        <v>F</v>
      </c>
    </row>
    <row r="329" spans="1:12" x14ac:dyDescent="0.35">
      <c r="A329" t="s">
        <v>175</v>
      </c>
      <c r="B329" t="s">
        <v>122</v>
      </c>
      <c r="C329" t="s">
        <v>207</v>
      </c>
      <c r="D329">
        <v>588</v>
      </c>
      <c r="E329">
        <v>0.74099999999999999</v>
      </c>
      <c r="F329">
        <v>36.1</v>
      </c>
      <c r="G329">
        <v>37.799999999999997</v>
      </c>
      <c r="H329">
        <v>34.200000000000003</v>
      </c>
      <c r="I329">
        <v>36.200000000000003</v>
      </c>
      <c r="J329">
        <v>44.9</v>
      </c>
      <c r="K329">
        <f t="shared" si="10"/>
        <v>36</v>
      </c>
      <c r="L329" t="str">
        <f t="shared" si="11"/>
        <v>M2-1</v>
      </c>
    </row>
    <row r="330" spans="1:12" x14ac:dyDescent="0.35">
      <c r="A330" t="s">
        <v>175</v>
      </c>
      <c r="B330" t="s">
        <v>122</v>
      </c>
      <c r="C330" t="s">
        <v>208</v>
      </c>
      <c r="D330">
        <v>273</v>
      </c>
      <c r="E330">
        <v>0.68899999999999995</v>
      </c>
      <c r="F330">
        <v>29.3</v>
      </c>
      <c r="G330">
        <v>35.200000000000003</v>
      </c>
      <c r="H330">
        <v>25.3</v>
      </c>
      <c r="I330">
        <v>27.5</v>
      </c>
      <c r="J330">
        <v>46</v>
      </c>
      <c r="K330">
        <f t="shared" si="10"/>
        <v>30.25</v>
      </c>
      <c r="L330" t="str">
        <f t="shared" si="11"/>
        <v>M2-2</v>
      </c>
    </row>
    <row r="331" spans="1:12" x14ac:dyDescent="0.35">
      <c r="A331" t="s">
        <v>175</v>
      </c>
      <c r="B331" t="s">
        <v>122</v>
      </c>
      <c r="C331" t="s">
        <v>209</v>
      </c>
      <c r="D331">
        <v>6501</v>
      </c>
      <c r="E331">
        <v>0.69599999999999995</v>
      </c>
      <c r="F331">
        <v>31.2</v>
      </c>
      <c r="G331">
        <v>36.4</v>
      </c>
      <c r="H331">
        <v>31.5</v>
      </c>
      <c r="I331">
        <v>25.8</v>
      </c>
      <c r="J331">
        <v>42.9</v>
      </c>
      <c r="K331">
        <f t="shared" si="10"/>
        <v>33.950000000000003</v>
      </c>
      <c r="L331" t="str">
        <f t="shared" si="11"/>
        <v>L</v>
      </c>
    </row>
    <row r="332" spans="1:12" x14ac:dyDescent="0.35">
      <c r="A332" t="s">
        <v>175</v>
      </c>
      <c r="B332" t="s">
        <v>124</v>
      </c>
      <c r="C332" t="s">
        <v>277</v>
      </c>
      <c r="D332">
        <v>420</v>
      </c>
      <c r="E332">
        <v>0.68200000000000005</v>
      </c>
      <c r="F332">
        <v>30.2</v>
      </c>
      <c r="G332">
        <v>36.4</v>
      </c>
      <c r="H332">
        <v>30</v>
      </c>
      <c r="I332">
        <v>24.3</v>
      </c>
      <c r="J332">
        <v>37.799999999999997</v>
      </c>
      <c r="K332">
        <f t="shared" si="10"/>
        <v>33.200000000000003</v>
      </c>
      <c r="L332" t="str">
        <f t="shared" si="11"/>
        <v>NS1</v>
      </c>
    </row>
    <row r="333" spans="1:12" x14ac:dyDescent="0.35">
      <c r="A333" t="s">
        <v>175</v>
      </c>
      <c r="B333" t="s">
        <v>124</v>
      </c>
      <c r="C333" t="s">
        <v>278</v>
      </c>
      <c r="D333">
        <v>375</v>
      </c>
      <c r="E333">
        <v>0.73899999999999999</v>
      </c>
      <c r="F333">
        <v>34.9</v>
      </c>
      <c r="G333">
        <v>31.2</v>
      </c>
      <c r="H333">
        <v>31.2</v>
      </c>
      <c r="I333">
        <v>42.4</v>
      </c>
      <c r="J333">
        <v>41.1</v>
      </c>
      <c r="K333">
        <f t="shared" si="10"/>
        <v>31.2</v>
      </c>
      <c r="L333" t="str">
        <f t="shared" si="11"/>
        <v>NS2</v>
      </c>
    </row>
    <row r="334" spans="1:12" x14ac:dyDescent="0.35">
      <c r="A334" t="s">
        <v>175</v>
      </c>
      <c r="B334" t="s">
        <v>124</v>
      </c>
      <c r="C334" t="s">
        <v>279</v>
      </c>
      <c r="D334">
        <v>1176</v>
      </c>
      <c r="E334">
        <v>0.67500000000000004</v>
      </c>
      <c r="F334">
        <v>36.9</v>
      </c>
      <c r="G334">
        <v>48.7</v>
      </c>
      <c r="H334">
        <v>33.4</v>
      </c>
      <c r="I334">
        <v>28.6</v>
      </c>
      <c r="J334">
        <v>44.4</v>
      </c>
      <c r="K334">
        <f t="shared" si="10"/>
        <v>41.05</v>
      </c>
      <c r="L334" t="str">
        <f t="shared" si="11"/>
        <v>N</v>
      </c>
    </row>
    <row r="335" spans="1:12" x14ac:dyDescent="0.35">
      <c r="A335" t="s">
        <v>175</v>
      </c>
      <c r="B335" t="s">
        <v>124</v>
      </c>
      <c r="C335" t="s">
        <v>280</v>
      </c>
      <c r="D335">
        <v>726</v>
      </c>
      <c r="E335">
        <v>0.73799999999999999</v>
      </c>
      <c r="F335">
        <v>37.5</v>
      </c>
      <c r="G335">
        <v>43.8</v>
      </c>
      <c r="H335">
        <v>36.4</v>
      </c>
      <c r="I335">
        <v>32.200000000000003</v>
      </c>
      <c r="J335">
        <v>45.9</v>
      </c>
      <c r="K335">
        <f t="shared" si="10"/>
        <v>40.099999999999994</v>
      </c>
      <c r="L335" t="str">
        <f t="shared" si="11"/>
        <v>P</v>
      </c>
    </row>
    <row r="336" spans="1:12" x14ac:dyDescent="0.35">
      <c r="A336" t="s">
        <v>175</v>
      </c>
      <c r="B336" t="s">
        <v>124</v>
      </c>
      <c r="C336" t="s">
        <v>123</v>
      </c>
      <c r="D336">
        <v>771</v>
      </c>
      <c r="E336">
        <v>0.70799999999999996</v>
      </c>
      <c r="F336">
        <v>37</v>
      </c>
      <c r="G336">
        <v>40.9</v>
      </c>
      <c r="H336">
        <v>37</v>
      </c>
      <c r="I336">
        <v>33.1</v>
      </c>
      <c r="J336">
        <v>49</v>
      </c>
      <c r="K336">
        <f t="shared" si="10"/>
        <v>38.950000000000003</v>
      </c>
      <c r="L336" t="str">
        <f t="shared" si="11"/>
        <v>M</v>
      </c>
    </row>
    <row r="337" spans="1:12" x14ac:dyDescent="0.35">
      <c r="A337" t="s">
        <v>175</v>
      </c>
      <c r="B337" t="s">
        <v>124</v>
      </c>
      <c r="C337" t="s">
        <v>281</v>
      </c>
      <c r="D337">
        <v>198</v>
      </c>
      <c r="E337">
        <v>0.64900000000000002</v>
      </c>
      <c r="F337">
        <v>29.3</v>
      </c>
      <c r="G337">
        <v>28.8</v>
      </c>
      <c r="H337">
        <v>25.8</v>
      </c>
      <c r="I337">
        <v>33.299999999999997</v>
      </c>
      <c r="J337">
        <v>37.799999999999997</v>
      </c>
      <c r="K337">
        <f t="shared" si="10"/>
        <v>27.3</v>
      </c>
      <c r="L337" t="str">
        <f t="shared" si="11"/>
        <v>SH</v>
      </c>
    </row>
    <row r="338" spans="1:12" x14ac:dyDescent="0.35">
      <c r="A338" t="s">
        <v>175</v>
      </c>
      <c r="B338" t="s">
        <v>124</v>
      </c>
      <c r="C338" t="s">
        <v>282</v>
      </c>
      <c r="D338">
        <v>933</v>
      </c>
      <c r="E338">
        <v>0.749</v>
      </c>
      <c r="F338">
        <v>40.6</v>
      </c>
      <c r="G338">
        <v>35.700000000000003</v>
      </c>
      <c r="H338">
        <v>49.2</v>
      </c>
      <c r="I338">
        <v>37</v>
      </c>
      <c r="J338">
        <v>45.1</v>
      </c>
      <c r="K338">
        <f t="shared" si="10"/>
        <v>42.45</v>
      </c>
      <c r="L338" t="str">
        <f t="shared" si="11"/>
        <v>G</v>
      </c>
    </row>
    <row r="339" spans="1:12" x14ac:dyDescent="0.35">
      <c r="A339" t="s">
        <v>175</v>
      </c>
      <c r="B339" t="s">
        <v>124</v>
      </c>
      <c r="C339" t="s">
        <v>283</v>
      </c>
      <c r="D339">
        <v>1725</v>
      </c>
      <c r="E339">
        <v>0.69399999999999995</v>
      </c>
      <c r="F339">
        <v>34.5</v>
      </c>
      <c r="G339">
        <v>36.299999999999997</v>
      </c>
      <c r="H339">
        <v>36.5</v>
      </c>
      <c r="I339">
        <v>30.6</v>
      </c>
      <c r="J339">
        <v>47.9</v>
      </c>
      <c r="K339">
        <f t="shared" si="10"/>
        <v>36.4</v>
      </c>
      <c r="L339" t="str">
        <f t="shared" si="11"/>
        <v>F</v>
      </c>
    </row>
    <row r="340" spans="1:12" x14ac:dyDescent="0.35">
      <c r="A340" t="s">
        <v>175</v>
      </c>
      <c r="B340" t="s">
        <v>124</v>
      </c>
      <c r="C340" t="s">
        <v>284</v>
      </c>
      <c r="D340">
        <v>588</v>
      </c>
      <c r="E340">
        <v>0.73499999999999999</v>
      </c>
      <c r="F340">
        <v>36.200000000000003</v>
      </c>
      <c r="G340">
        <v>38.299999999999997</v>
      </c>
      <c r="H340">
        <v>34.200000000000003</v>
      </c>
      <c r="I340">
        <v>36.200000000000003</v>
      </c>
      <c r="J340">
        <v>44.8</v>
      </c>
      <c r="K340">
        <f t="shared" si="10"/>
        <v>36.25</v>
      </c>
      <c r="L340" t="str">
        <f t="shared" si="11"/>
        <v>M2-1</v>
      </c>
    </row>
    <row r="341" spans="1:12" x14ac:dyDescent="0.35">
      <c r="A341" t="s">
        <v>175</v>
      </c>
      <c r="B341" t="s">
        <v>124</v>
      </c>
      <c r="C341" t="s">
        <v>285</v>
      </c>
      <c r="D341">
        <v>273</v>
      </c>
      <c r="E341">
        <v>0.68700000000000006</v>
      </c>
      <c r="F341">
        <v>28.2</v>
      </c>
      <c r="G341">
        <v>34.1</v>
      </c>
      <c r="H341">
        <v>24.2</v>
      </c>
      <c r="I341">
        <v>26.4</v>
      </c>
      <c r="J341">
        <v>44.2</v>
      </c>
      <c r="K341">
        <f t="shared" si="10"/>
        <v>29.15</v>
      </c>
      <c r="L341" t="str">
        <f t="shared" si="11"/>
        <v>M2-2</v>
      </c>
    </row>
    <row r="342" spans="1:12" x14ac:dyDescent="0.35">
      <c r="A342" t="s">
        <v>175</v>
      </c>
      <c r="B342" t="s">
        <v>124</v>
      </c>
      <c r="C342" t="s">
        <v>286</v>
      </c>
      <c r="D342">
        <v>6501</v>
      </c>
      <c r="E342">
        <v>0.69599999999999995</v>
      </c>
      <c r="F342">
        <v>31.2</v>
      </c>
      <c r="G342">
        <v>36.4</v>
      </c>
      <c r="H342">
        <v>31.5</v>
      </c>
      <c r="I342">
        <v>25.7</v>
      </c>
      <c r="J342">
        <v>42.9</v>
      </c>
      <c r="K342">
        <f t="shared" si="10"/>
        <v>33.950000000000003</v>
      </c>
      <c r="L342" t="str">
        <f t="shared" si="11"/>
        <v>L</v>
      </c>
    </row>
    <row r="343" spans="1:12" x14ac:dyDescent="0.35">
      <c r="A343" t="s">
        <v>175</v>
      </c>
      <c r="B343" t="s">
        <v>133</v>
      </c>
      <c r="C343" t="s">
        <v>287</v>
      </c>
      <c r="D343">
        <v>420</v>
      </c>
      <c r="E343">
        <v>0.68400000000000005</v>
      </c>
      <c r="F343">
        <v>30</v>
      </c>
      <c r="G343">
        <v>35.700000000000003</v>
      </c>
      <c r="H343">
        <v>30</v>
      </c>
      <c r="I343">
        <v>24.3</v>
      </c>
      <c r="J343">
        <v>37.9</v>
      </c>
      <c r="K343">
        <f t="shared" si="10"/>
        <v>32.85</v>
      </c>
      <c r="L343" t="str">
        <f t="shared" si="11"/>
        <v>NS1</v>
      </c>
    </row>
    <row r="344" spans="1:12" x14ac:dyDescent="0.35">
      <c r="A344" t="s">
        <v>175</v>
      </c>
      <c r="B344" t="s">
        <v>133</v>
      </c>
      <c r="C344" t="s">
        <v>288</v>
      </c>
      <c r="D344">
        <v>375</v>
      </c>
      <c r="E344">
        <v>0.73899999999999999</v>
      </c>
      <c r="F344">
        <v>34.9</v>
      </c>
      <c r="G344">
        <v>31.2</v>
      </c>
      <c r="H344">
        <v>31.2</v>
      </c>
      <c r="I344">
        <v>42.4</v>
      </c>
      <c r="J344">
        <v>41.1</v>
      </c>
      <c r="K344">
        <f t="shared" si="10"/>
        <v>31.2</v>
      </c>
      <c r="L344" t="str">
        <f t="shared" si="11"/>
        <v>NS2</v>
      </c>
    </row>
    <row r="345" spans="1:12" x14ac:dyDescent="0.35">
      <c r="A345" t="s">
        <v>175</v>
      </c>
      <c r="B345" t="s">
        <v>133</v>
      </c>
      <c r="C345" t="s">
        <v>289</v>
      </c>
      <c r="D345">
        <v>1176</v>
      </c>
      <c r="E345">
        <v>0.67400000000000004</v>
      </c>
      <c r="F345">
        <v>37.200000000000003</v>
      </c>
      <c r="G345">
        <v>49</v>
      </c>
      <c r="H345">
        <v>33.4</v>
      </c>
      <c r="I345">
        <v>29.1</v>
      </c>
      <c r="J345">
        <v>44.5</v>
      </c>
      <c r="K345">
        <f t="shared" si="10"/>
        <v>41.2</v>
      </c>
      <c r="L345" t="str">
        <f t="shared" si="11"/>
        <v>N</v>
      </c>
    </row>
    <row r="346" spans="1:12" x14ac:dyDescent="0.35">
      <c r="A346" t="s">
        <v>175</v>
      </c>
      <c r="B346" t="s">
        <v>133</v>
      </c>
      <c r="C346" t="s">
        <v>290</v>
      </c>
      <c r="D346">
        <v>726</v>
      </c>
      <c r="E346">
        <v>0.73399999999999999</v>
      </c>
      <c r="F346">
        <v>37.700000000000003</v>
      </c>
      <c r="G346">
        <v>44.6</v>
      </c>
      <c r="H346">
        <v>36.4</v>
      </c>
      <c r="I346">
        <v>32.200000000000003</v>
      </c>
      <c r="J346">
        <v>46.4</v>
      </c>
      <c r="K346">
        <f t="shared" si="10"/>
        <v>40.5</v>
      </c>
      <c r="L346" t="str">
        <f t="shared" si="11"/>
        <v>P</v>
      </c>
    </row>
    <row r="347" spans="1:12" x14ac:dyDescent="0.35">
      <c r="A347" t="s">
        <v>175</v>
      </c>
      <c r="B347" t="s">
        <v>133</v>
      </c>
      <c r="C347" t="s">
        <v>291</v>
      </c>
      <c r="D347">
        <v>771</v>
      </c>
      <c r="E347">
        <v>0.70199999999999996</v>
      </c>
      <c r="F347">
        <v>37.5</v>
      </c>
      <c r="G347">
        <v>41.2</v>
      </c>
      <c r="H347">
        <v>37</v>
      </c>
      <c r="I347">
        <v>34.200000000000003</v>
      </c>
      <c r="J347">
        <v>49.4</v>
      </c>
      <c r="K347">
        <f t="shared" si="10"/>
        <v>39.1</v>
      </c>
      <c r="L347" t="str">
        <f t="shared" si="11"/>
        <v>M</v>
      </c>
    </row>
    <row r="348" spans="1:12" x14ac:dyDescent="0.35">
      <c r="A348" t="s">
        <v>175</v>
      </c>
      <c r="B348" t="s">
        <v>133</v>
      </c>
      <c r="C348" t="s">
        <v>292</v>
      </c>
      <c r="D348">
        <v>198</v>
      </c>
      <c r="E348">
        <v>0.65</v>
      </c>
      <c r="F348">
        <v>29.8</v>
      </c>
      <c r="G348">
        <v>28.8</v>
      </c>
      <c r="H348">
        <v>27.3</v>
      </c>
      <c r="I348">
        <v>33.299999999999997</v>
      </c>
      <c r="J348">
        <v>33.9</v>
      </c>
      <c r="K348">
        <f t="shared" si="10"/>
        <v>28.05</v>
      </c>
      <c r="L348" t="str">
        <f t="shared" si="11"/>
        <v>SH</v>
      </c>
    </row>
    <row r="349" spans="1:12" x14ac:dyDescent="0.35">
      <c r="A349" t="s">
        <v>175</v>
      </c>
      <c r="B349" t="s">
        <v>133</v>
      </c>
      <c r="C349" t="s">
        <v>293</v>
      </c>
      <c r="D349">
        <v>954</v>
      </c>
      <c r="E349">
        <v>0.74199999999999999</v>
      </c>
      <c r="F349">
        <v>40.799999999999997</v>
      </c>
      <c r="G349">
        <v>36.200000000000003</v>
      </c>
      <c r="H349">
        <v>49.1</v>
      </c>
      <c r="I349">
        <v>37.1</v>
      </c>
      <c r="J349">
        <v>50.6</v>
      </c>
      <c r="K349">
        <f t="shared" si="10"/>
        <v>42.650000000000006</v>
      </c>
      <c r="L349" t="str">
        <f t="shared" si="11"/>
        <v>G</v>
      </c>
    </row>
    <row r="350" spans="1:12" x14ac:dyDescent="0.35">
      <c r="A350" t="s">
        <v>175</v>
      </c>
      <c r="B350" t="s">
        <v>133</v>
      </c>
      <c r="C350" t="s">
        <v>294</v>
      </c>
      <c r="D350">
        <v>1725</v>
      </c>
      <c r="E350">
        <v>0.69399999999999995</v>
      </c>
      <c r="F350">
        <v>34.700000000000003</v>
      </c>
      <c r="G350">
        <v>36.5</v>
      </c>
      <c r="H350">
        <v>36.9</v>
      </c>
      <c r="I350">
        <v>30.6</v>
      </c>
      <c r="J350">
        <v>48</v>
      </c>
      <c r="K350">
        <f t="shared" si="10"/>
        <v>36.700000000000003</v>
      </c>
      <c r="L350" t="str">
        <f t="shared" si="11"/>
        <v>F</v>
      </c>
    </row>
    <row r="351" spans="1:12" x14ac:dyDescent="0.35">
      <c r="A351" t="s">
        <v>175</v>
      </c>
      <c r="B351" t="s">
        <v>133</v>
      </c>
      <c r="C351" t="s">
        <v>295</v>
      </c>
      <c r="D351">
        <v>588</v>
      </c>
      <c r="E351">
        <v>0.73399999999999999</v>
      </c>
      <c r="F351">
        <v>36.200000000000003</v>
      </c>
      <c r="G351">
        <v>38.299999999999997</v>
      </c>
      <c r="H351">
        <v>34.200000000000003</v>
      </c>
      <c r="I351">
        <v>36.200000000000003</v>
      </c>
      <c r="J351">
        <v>44.8</v>
      </c>
      <c r="K351">
        <f t="shared" si="10"/>
        <v>36.25</v>
      </c>
      <c r="L351" t="str">
        <f t="shared" si="11"/>
        <v>M2-1</v>
      </c>
    </row>
    <row r="352" spans="1:12" x14ac:dyDescent="0.35">
      <c r="A352" t="s">
        <v>175</v>
      </c>
      <c r="B352" t="s">
        <v>133</v>
      </c>
      <c r="C352" t="s">
        <v>296</v>
      </c>
      <c r="D352">
        <v>273</v>
      </c>
      <c r="E352">
        <v>0.68700000000000006</v>
      </c>
      <c r="F352">
        <v>28.9</v>
      </c>
      <c r="G352">
        <v>35.200000000000003</v>
      </c>
      <c r="H352">
        <v>25.3</v>
      </c>
      <c r="I352">
        <v>26.4</v>
      </c>
      <c r="J352">
        <v>44.7</v>
      </c>
      <c r="K352">
        <f t="shared" si="10"/>
        <v>30.25</v>
      </c>
      <c r="L352" t="str">
        <f t="shared" si="11"/>
        <v>M2-2</v>
      </c>
    </row>
    <row r="353" spans="1:12" x14ac:dyDescent="0.35">
      <c r="A353" t="s">
        <v>175</v>
      </c>
      <c r="B353" t="s">
        <v>133</v>
      </c>
      <c r="C353" t="s">
        <v>297</v>
      </c>
      <c r="D353">
        <v>6501</v>
      </c>
      <c r="E353">
        <v>0.69499999999999995</v>
      </c>
      <c r="F353">
        <v>31.2</v>
      </c>
      <c r="G353">
        <v>36.4</v>
      </c>
      <c r="H353">
        <v>31.5</v>
      </c>
      <c r="I353">
        <v>25.7</v>
      </c>
      <c r="J353">
        <v>42.9</v>
      </c>
      <c r="K353">
        <f t="shared" si="10"/>
        <v>33.950000000000003</v>
      </c>
      <c r="L353" t="str">
        <f t="shared" si="11"/>
        <v>L</v>
      </c>
    </row>
    <row r="354" spans="1:12" x14ac:dyDescent="0.35">
      <c r="A354" t="s">
        <v>175</v>
      </c>
      <c r="B354" t="s">
        <v>298</v>
      </c>
      <c r="C354" t="s">
        <v>299</v>
      </c>
      <c r="D354">
        <v>420</v>
      </c>
      <c r="E354">
        <v>0.68200000000000005</v>
      </c>
      <c r="F354">
        <v>30.2</v>
      </c>
      <c r="G354">
        <v>36.4</v>
      </c>
      <c r="H354">
        <v>30</v>
      </c>
      <c r="I354">
        <v>24.3</v>
      </c>
      <c r="J354">
        <v>37.799999999999997</v>
      </c>
      <c r="K354">
        <f t="shared" si="10"/>
        <v>33.200000000000003</v>
      </c>
      <c r="L354" t="str">
        <f t="shared" si="11"/>
        <v>NS1</v>
      </c>
    </row>
    <row r="355" spans="1:12" x14ac:dyDescent="0.35">
      <c r="A355" t="s">
        <v>175</v>
      </c>
      <c r="B355" t="s">
        <v>298</v>
      </c>
      <c r="C355" t="s">
        <v>300</v>
      </c>
      <c r="D355">
        <v>375</v>
      </c>
      <c r="E355">
        <v>0.73899999999999999</v>
      </c>
      <c r="F355">
        <v>34.9</v>
      </c>
      <c r="G355">
        <v>31.2</v>
      </c>
      <c r="H355">
        <v>31.2</v>
      </c>
      <c r="I355">
        <v>42.4</v>
      </c>
      <c r="J355">
        <v>41.1</v>
      </c>
      <c r="K355">
        <f t="shared" si="10"/>
        <v>31.2</v>
      </c>
      <c r="L355" t="str">
        <f t="shared" si="11"/>
        <v>NS2</v>
      </c>
    </row>
    <row r="356" spans="1:12" x14ac:dyDescent="0.35">
      <c r="A356" t="s">
        <v>175</v>
      </c>
      <c r="B356" t="s">
        <v>298</v>
      </c>
      <c r="C356" t="s">
        <v>301</v>
      </c>
      <c r="D356">
        <v>1176</v>
      </c>
      <c r="E356">
        <v>0.68</v>
      </c>
      <c r="F356">
        <v>37.4</v>
      </c>
      <c r="G356">
        <v>48.7</v>
      </c>
      <c r="H356">
        <v>33.4</v>
      </c>
      <c r="I356">
        <v>30.1</v>
      </c>
      <c r="J356">
        <v>44.7</v>
      </c>
      <c r="K356">
        <f t="shared" si="10"/>
        <v>41.05</v>
      </c>
      <c r="L356" t="str">
        <f t="shared" si="11"/>
        <v>N</v>
      </c>
    </row>
    <row r="357" spans="1:12" x14ac:dyDescent="0.35">
      <c r="A357" t="s">
        <v>175</v>
      </c>
      <c r="B357" t="s">
        <v>298</v>
      </c>
      <c r="C357" t="s">
        <v>193</v>
      </c>
      <c r="D357">
        <v>726</v>
      </c>
      <c r="E357">
        <v>0.73499999999999999</v>
      </c>
      <c r="F357">
        <v>37.6</v>
      </c>
      <c r="G357">
        <v>44.2</v>
      </c>
      <c r="H357">
        <v>36.4</v>
      </c>
      <c r="I357">
        <v>32.200000000000003</v>
      </c>
      <c r="J357">
        <v>46.1</v>
      </c>
      <c r="K357">
        <f t="shared" si="10"/>
        <v>40.299999999999997</v>
      </c>
      <c r="L357" t="str">
        <f t="shared" si="11"/>
        <v>P</v>
      </c>
    </row>
    <row r="358" spans="1:12" x14ac:dyDescent="0.35">
      <c r="A358" t="s">
        <v>175</v>
      </c>
      <c r="B358" t="s">
        <v>298</v>
      </c>
      <c r="C358" t="s">
        <v>194</v>
      </c>
      <c r="D358">
        <v>771</v>
      </c>
      <c r="E358">
        <v>0.70799999999999996</v>
      </c>
      <c r="F358">
        <v>37.5</v>
      </c>
      <c r="G358">
        <v>41.2</v>
      </c>
      <c r="H358">
        <v>37</v>
      </c>
      <c r="I358">
        <v>34.200000000000003</v>
      </c>
      <c r="J358">
        <v>49.6</v>
      </c>
      <c r="K358">
        <f t="shared" si="10"/>
        <v>39.1</v>
      </c>
      <c r="L358" t="str">
        <f t="shared" si="11"/>
        <v>M</v>
      </c>
    </row>
    <row r="359" spans="1:12" x14ac:dyDescent="0.35">
      <c r="A359" t="s">
        <v>175</v>
      </c>
      <c r="B359" t="s">
        <v>298</v>
      </c>
      <c r="C359" t="s">
        <v>195</v>
      </c>
      <c r="D359">
        <v>198</v>
      </c>
      <c r="E359">
        <v>0.65</v>
      </c>
      <c r="F359">
        <v>29.8</v>
      </c>
      <c r="G359">
        <v>28.8</v>
      </c>
      <c r="H359">
        <v>27.3</v>
      </c>
      <c r="I359">
        <v>33.299999999999997</v>
      </c>
      <c r="J359">
        <v>33.9</v>
      </c>
      <c r="K359">
        <f t="shared" si="10"/>
        <v>28.05</v>
      </c>
      <c r="L359" t="str">
        <f t="shared" si="11"/>
        <v>SH</v>
      </c>
    </row>
    <row r="360" spans="1:12" x14ac:dyDescent="0.35">
      <c r="A360" t="s">
        <v>175</v>
      </c>
      <c r="B360" t="s">
        <v>298</v>
      </c>
      <c r="C360" t="s">
        <v>302</v>
      </c>
      <c r="D360">
        <v>873</v>
      </c>
      <c r="E360">
        <v>0.74299999999999999</v>
      </c>
      <c r="F360">
        <v>39.200000000000003</v>
      </c>
      <c r="G360">
        <v>34</v>
      </c>
      <c r="H360">
        <v>48.1</v>
      </c>
      <c r="I360">
        <v>35.4</v>
      </c>
      <c r="J360">
        <v>45.8</v>
      </c>
      <c r="K360">
        <f t="shared" si="10"/>
        <v>41.05</v>
      </c>
      <c r="L360" t="str">
        <f t="shared" si="11"/>
        <v>G</v>
      </c>
    </row>
    <row r="361" spans="1:12" x14ac:dyDescent="0.35">
      <c r="A361" t="s">
        <v>175</v>
      </c>
      <c r="B361" t="s">
        <v>298</v>
      </c>
      <c r="C361" t="s">
        <v>303</v>
      </c>
      <c r="D361">
        <v>1725</v>
      </c>
      <c r="E361">
        <v>0.69599999999999995</v>
      </c>
      <c r="F361">
        <v>34.700000000000003</v>
      </c>
      <c r="G361">
        <v>36.5</v>
      </c>
      <c r="H361">
        <v>36.9</v>
      </c>
      <c r="I361">
        <v>30.6</v>
      </c>
      <c r="J361">
        <v>48.5</v>
      </c>
      <c r="K361">
        <f t="shared" si="10"/>
        <v>36.700000000000003</v>
      </c>
      <c r="L361" t="str">
        <f t="shared" si="11"/>
        <v>F</v>
      </c>
    </row>
    <row r="362" spans="1:12" x14ac:dyDescent="0.35">
      <c r="A362" t="s">
        <v>175</v>
      </c>
      <c r="B362" t="s">
        <v>298</v>
      </c>
      <c r="C362" t="s">
        <v>304</v>
      </c>
      <c r="D362">
        <v>588</v>
      </c>
      <c r="E362">
        <v>0.73099999999999998</v>
      </c>
      <c r="F362">
        <v>36.4</v>
      </c>
      <c r="G362">
        <v>38.799999999999997</v>
      </c>
      <c r="H362">
        <v>34.200000000000003</v>
      </c>
      <c r="I362">
        <v>36.200000000000003</v>
      </c>
      <c r="J362">
        <v>45.5</v>
      </c>
      <c r="K362">
        <f t="shared" si="10"/>
        <v>36.5</v>
      </c>
      <c r="L362" t="str">
        <f t="shared" si="11"/>
        <v>M2-1</v>
      </c>
    </row>
    <row r="363" spans="1:12" x14ac:dyDescent="0.35">
      <c r="A363" t="s">
        <v>175</v>
      </c>
      <c r="B363" t="s">
        <v>298</v>
      </c>
      <c r="C363" t="s">
        <v>305</v>
      </c>
      <c r="D363">
        <v>273</v>
      </c>
      <c r="E363">
        <v>0.69299999999999995</v>
      </c>
      <c r="F363">
        <v>28.6</v>
      </c>
      <c r="G363">
        <v>35.200000000000003</v>
      </c>
      <c r="H363">
        <v>24.2</v>
      </c>
      <c r="I363">
        <v>26.4</v>
      </c>
      <c r="J363">
        <v>41.3</v>
      </c>
      <c r="K363">
        <f t="shared" si="10"/>
        <v>29.700000000000003</v>
      </c>
      <c r="L363" t="str">
        <f t="shared" si="11"/>
        <v>M2-2</v>
      </c>
    </row>
    <row r="364" spans="1:12" x14ac:dyDescent="0.35">
      <c r="A364" t="s">
        <v>175</v>
      </c>
      <c r="B364" t="s">
        <v>298</v>
      </c>
      <c r="C364" t="s">
        <v>306</v>
      </c>
      <c r="D364">
        <v>6501</v>
      </c>
      <c r="E364">
        <v>0.69599999999999995</v>
      </c>
      <c r="F364">
        <v>31.2</v>
      </c>
      <c r="G364">
        <v>36.5</v>
      </c>
      <c r="H364">
        <v>31.4</v>
      </c>
      <c r="I364">
        <v>25.7</v>
      </c>
      <c r="J364">
        <v>42.8</v>
      </c>
      <c r="K364">
        <f t="shared" si="10"/>
        <v>33.950000000000003</v>
      </c>
      <c r="L364" t="str">
        <f t="shared" si="11"/>
        <v>L</v>
      </c>
    </row>
    <row r="365" spans="1:12" x14ac:dyDescent="0.35">
      <c r="A365" t="s">
        <v>175</v>
      </c>
      <c r="B365" t="s">
        <v>307</v>
      </c>
      <c r="C365" t="s">
        <v>147</v>
      </c>
      <c r="D365">
        <v>420</v>
      </c>
      <c r="E365">
        <v>0.68400000000000005</v>
      </c>
      <c r="F365">
        <v>30.7</v>
      </c>
      <c r="G365">
        <v>36.4</v>
      </c>
      <c r="H365">
        <v>30</v>
      </c>
      <c r="I365">
        <v>25.7</v>
      </c>
      <c r="J365">
        <v>38.5</v>
      </c>
      <c r="K365">
        <f t="shared" si="10"/>
        <v>33.200000000000003</v>
      </c>
      <c r="L365" t="str">
        <f t="shared" si="11"/>
        <v>NS1</v>
      </c>
    </row>
    <row r="366" spans="1:12" x14ac:dyDescent="0.35">
      <c r="A366" t="s">
        <v>175</v>
      </c>
      <c r="B366" t="s">
        <v>307</v>
      </c>
      <c r="C366" t="s">
        <v>308</v>
      </c>
      <c r="D366">
        <v>375</v>
      </c>
      <c r="E366">
        <v>0.73699999999999999</v>
      </c>
      <c r="F366">
        <v>34.700000000000003</v>
      </c>
      <c r="G366">
        <v>31.2</v>
      </c>
      <c r="H366">
        <v>31.2</v>
      </c>
      <c r="I366">
        <v>41.6</v>
      </c>
      <c r="J366">
        <v>41.1</v>
      </c>
      <c r="K366">
        <f t="shared" si="10"/>
        <v>31.2</v>
      </c>
      <c r="L366" t="str">
        <f t="shared" si="11"/>
        <v>NS2</v>
      </c>
    </row>
    <row r="367" spans="1:12" x14ac:dyDescent="0.35">
      <c r="A367" t="s">
        <v>175</v>
      </c>
      <c r="B367" t="s">
        <v>307</v>
      </c>
      <c r="C367" t="s">
        <v>309</v>
      </c>
      <c r="D367">
        <v>1176</v>
      </c>
      <c r="E367">
        <v>0.67400000000000004</v>
      </c>
      <c r="F367">
        <v>36.9</v>
      </c>
      <c r="G367">
        <v>48.7</v>
      </c>
      <c r="H367">
        <v>33.4</v>
      </c>
      <c r="I367">
        <v>28.6</v>
      </c>
      <c r="J367">
        <v>44.1</v>
      </c>
      <c r="K367">
        <f t="shared" si="10"/>
        <v>41.05</v>
      </c>
      <c r="L367" t="str">
        <f t="shared" si="11"/>
        <v>N</v>
      </c>
    </row>
    <row r="368" spans="1:12" x14ac:dyDescent="0.35">
      <c r="A368" t="s">
        <v>175</v>
      </c>
      <c r="B368" t="s">
        <v>307</v>
      </c>
      <c r="C368" t="s">
        <v>224</v>
      </c>
      <c r="D368">
        <v>726</v>
      </c>
      <c r="E368">
        <v>0.73699999999999999</v>
      </c>
      <c r="F368">
        <v>37.299999999999997</v>
      </c>
      <c r="G368">
        <v>43.8</v>
      </c>
      <c r="H368">
        <v>36.4</v>
      </c>
      <c r="I368">
        <v>31.8</v>
      </c>
      <c r="J368">
        <v>46.2</v>
      </c>
      <c r="K368">
        <f t="shared" si="10"/>
        <v>40.099999999999994</v>
      </c>
      <c r="L368" t="str">
        <f t="shared" si="11"/>
        <v>P</v>
      </c>
    </row>
    <row r="369" spans="1:12" x14ac:dyDescent="0.35">
      <c r="A369" t="s">
        <v>175</v>
      </c>
      <c r="B369" t="s">
        <v>307</v>
      </c>
      <c r="C369" t="s">
        <v>225</v>
      </c>
      <c r="D369">
        <v>771</v>
      </c>
      <c r="E369">
        <v>0.70499999999999996</v>
      </c>
      <c r="F369">
        <v>37.200000000000003</v>
      </c>
      <c r="G369">
        <v>41.2</v>
      </c>
      <c r="H369">
        <v>37</v>
      </c>
      <c r="I369">
        <v>33.5</v>
      </c>
      <c r="J369">
        <v>49.4</v>
      </c>
      <c r="K369">
        <f t="shared" si="10"/>
        <v>39.1</v>
      </c>
      <c r="L369" t="str">
        <f t="shared" si="11"/>
        <v>M</v>
      </c>
    </row>
    <row r="370" spans="1:12" x14ac:dyDescent="0.35">
      <c r="A370" t="s">
        <v>175</v>
      </c>
      <c r="B370" t="s">
        <v>307</v>
      </c>
      <c r="C370" t="s">
        <v>226</v>
      </c>
      <c r="D370">
        <v>198</v>
      </c>
      <c r="E370">
        <v>0.65</v>
      </c>
      <c r="F370">
        <v>29.8</v>
      </c>
      <c r="G370">
        <v>28.8</v>
      </c>
      <c r="H370">
        <v>27.3</v>
      </c>
      <c r="I370">
        <v>33.299999999999997</v>
      </c>
      <c r="J370">
        <v>33.9</v>
      </c>
      <c r="K370">
        <f t="shared" si="10"/>
        <v>28.05</v>
      </c>
      <c r="L370" t="str">
        <f t="shared" si="11"/>
        <v>SH</v>
      </c>
    </row>
    <row r="371" spans="1:12" x14ac:dyDescent="0.35">
      <c r="A371" t="s">
        <v>175</v>
      </c>
      <c r="B371" t="s">
        <v>307</v>
      </c>
      <c r="C371" t="s">
        <v>310</v>
      </c>
      <c r="D371">
        <v>930</v>
      </c>
      <c r="E371">
        <v>0.747</v>
      </c>
      <c r="F371">
        <v>40.6</v>
      </c>
      <c r="G371">
        <v>35.799999999999997</v>
      </c>
      <c r="H371">
        <v>49.7</v>
      </c>
      <c r="I371">
        <v>36.5</v>
      </c>
      <c r="J371">
        <v>48.2</v>
      </c>
      <c r="K371">
        <f t="shared" si="10"/>
        <v>42.75</v>
      </c>
      <c r="L371" t="str">
        <f t="shared" si="11"/>
        <v>G</v>
      </c>
    </row>
    <row r="372" spans="1:12" x14ac:dyDescent="0.35">
      <c r="A372" t="s">
        <v>175</v>
      </c>
      <c r="B372" t="s">
        <v>307</v>
      </c>
      <c r="C372" t="s">
        <v>311</v>
      </c>
      <c r="D372">
        <v>1725</v>
      </c>
      <c r="E372">
        <v>0.69599999999999995</v>
      </c>
      <c r="F372">
        <v>34.4</v>
      </c>
      <c r="G372">
        <v>36.200000000000003</v>
      </c>
      <c r="H372">
        <v>36.299999999999997</v>
      </c>
      <c r="I372">
        <v>30.8</v>
      </c>
      <c r="J372">
        <v>48.6</v>
      </c>
      <c r="K372">
        <f t="shared" si="10"/>
        <v>36.25</v>
      </c>
      <c r="L372" t="str">
        <f t="shared" si="11"/>
        <v>F</v>
      </c>
    </row>
    <row r="373" spans="1:12" x14ac:dyDescent="0.35">
      <c r="A373" t="s">
        <v>175</v>
      </c>
      <c r="B373" t="s">
        <v>307</v>
      </c>
      <c r="C373" t="s">
        <v>312</v>
      </c>
      <c r="D373">
        <v>588</v>
      </c>
      <c r="E373">
        <v>0.73699999999999999</v>
      </c>
      <c r="F373">
        <v>36.4</v>
      </c>
      <c r="G373">
        <v>38.299999999999997</v>
      </c>
      <c r="H373">
        <v>34.200000000000003</v>
      </c>
      <c r="I373">
        <v>36.700000000000003</v>
      </c>
      <c r="J373">
        <v>44.1</v>
      </c>
      <c r="K373">
        <f t="shared" si="10"/>
        <v>36.25</v>
      </c>
      <c r="L373" t="str">
        <f t="shared" si="11"/>
        <v>M2-1</v>
      </c>
    </row>
    <row r="374" spans="1:12" x14ac:dyDescent="0.35">
      <c r="A374" t="s">
        <v>175</v>
      </c>
      <c r="B374" t="s">
        <v>307</v>
      </c>
      <c r="C374" t="s">
        <v>313</v>
      </c>
      <c r="D374">
        <v>273</v>
      </c>
      <c r="E374">
        <v>0.69299999999999995</v>
      </c>
      <c r="F374">
        <v>27.8</v>
      </c>
      <c r="G374">
        <v>34.1</v>
      </c>
      <c r="H374">
        <v>23.1</v>
      </c>
      <c r="I374">
        <v>26.4</v>
      </c>
      <c r="J374">
        <v>40.9</v>
      </c>
      <c r="K374">
        <f t="shared" si="10"/>
        <v>28.6</v>
      </c>
      <c r="L374" t="str">
        <f t="shared" si="11"/>
        <v>M2-2</v>
      </c>
    </row>
    <row r="375" spans="1:12" x14ac:dyDescent="0.35">
      <c r="A375" t="s">
        <v>175</v>
      </c>
      <c r="B375" t="s">
        <v>307</v>
      </c>
      <c r="C375" t="s">
        <v>314</v>
      </c>
      <c r="D375">
        <v>6501</v>
      </c>
      <c r="E375">
        <v>0.69499999999999995</v>
      </c>
      <c r="F375">
        <v>31.2</v>
      </c>
      <c r="G375">
        <v>36.299999999999997</v>
      </c>
      <c r="H375">
        <v>31.6</v>
      </c>
      <c r="I375">
        <v>25.6</v>
      </c>
      <c r="J375">
        <v>42.9</v>
      </c>
      <c r="K375">
        <f t="shared" si="10"/>
        <v>33.950000000000003</v>
      </c>
      <c r="L375" t="str">
        <f t="shared" si="11"/>
        <v>L</v>
      </c>
    </row>
    <row r="376" spans="1:12" x14ac:dyDescent="0.35">
      <c r="A376" t="s">
        <v>175</v>
      </c>
      <c r="B376" t="s">
        <v>315</v>
      </c>
      <c r="C376" t="s">
        <v>316</v>
      </c>
      <c r="D376">
        <v>420</v>
      </c>
      <c r="E376">
        <v>0.67400000000000004</v>
      </c>
      <c r="F376">
        <v>30</v>
      </c>
      <c r="G376">
        <v>36.4</v>
      </c>
      <c r="H376">
        <v>30</v>
      </c>
      <c r="I376">
        <v>23.6</v>
      </c>
      <c r="J376">
        <v>37.6</v>
      </c>
      <c r="K376">
        <f t="shared" si="10"/>
        <v>33.200000000000003</v>
      </c>
      <c r="L376" t="str">
        <f t="shared" si="11"/>
        <v>NS1</v>
      </c>
    </row>
    <row r="377" spans="1:12" x14ac:dyDescent="0.35">
      <c r="A377" t="s">
        <v>175</v>
      </c>
      <c r="B377" t="s">
        <v>315</v>
      </c>
      <c r="C377" t="s">
        <v>317</v>
      </c>
      <c r="D377">
        <v>375</v>
      </c>
      <c r="E377">
        <v>0.745</v>
      </c>
      <c r="F377">
        <v>34.9</v>
      </c>
      <c r="G377">
        <v>32</v>
      </c>
      <c r="H377">
        <v>31.2</v>
      </c>
      <c r="I377">
        <v>41.6</v>
      </c>
      <c r="J377">
        <v>41.2</v>
      </c>
      <c r="K377">
        <f t="shared" si="10"/>
        <v>31.6</v>
      </c>
      <c r="L377" t="str">
        <f t="shared" si="11"/>
        <v>NS2</v>
      </c>
    </row>
    <row r="378" spans="1:12" x14ac:dyDescent="0.35">
      <c r="A378" t="s">
        <v>175</v>
      </c>
      <c r="B378" t="s">
        <v>315</v>
      </c>
      <c r="C378" t="s">
        <v>318</v>
      </c>
      <c r="D378">
        <v>1176</v>
      </c>
      <c r="E378">
        <v>0.67600000000000005</v>
      </c>
      <c r="F378">
        <v>36.799999999999997</v>
      </c>
      <c r="G378">
        <v>48.7</v>
      </c>
      <c r="H378">
        <v>33.4</v>
      </c>
      <c r="I378">
        <v>28.3</v>
      </c>
      <c r="J378">
        <v>44.1</v>
      </c>
      <c r="K378">
        <f t="shared" si="10"/>
        <v>41.05</v>
      </c>
      <c r="L378" t="str">
        <f t="shared" si="11"/>
        <v>N</v>
      </c>
    </row>
    <row r="379" spans="1:12" x14ac:dyDescent="0.35">
      <c r="A379" t="s">
        <v>175</v>
      </c>
      <c r="B379" t="s">
        <v>315</v>
      </c>
      <c r="C379" t="s">
        <v>319</v>
      </c>
      <c r="D379">
        <v>726</v>
      </c>
      <c r="E379">
        <v>0.745</v>
      </c>
      <c r="F379">
        <v>38</v>
      </c>
      <c r="G379">
        <v>44.2</v>
      </c>
      <c r="H379">
        <v>36.4</v>
      </c>
      <c r="I379">
        <v>33.5</v>
      </c>
      <c r="J379">
        <v>46.2</v>
      </c>
      <c r="K379">
        <f t="shared" si="10"/>
        <v>40.299999999999997</v>
      </c>
      <c r="L379" t="str">
        <f t="shared" si="11"/>
        <v>P</v>
      </c>
    </row>
    <row r="380" spans="1:12" x14ac:dyDescent="0.35">
      <c r="A380" t="s">
        <v>175</v>
      </c>
      <c r="B380" t="s">
        <v>315</v>
      </c>
      <c r="C380" t="s">
        <v>320</v>
      </c>
      <c r="D380">
        <v>771</v>
      </c>
      <c r="E380">
        <v>0.7</v>
      </c>
      <c r="F380">
        <v>37.700000000000003</v>
      </c>
      <c r="G380">
        <v>41.6</v>
      </c>
      <c r="H380">
        <v>37</v>
      </c>
      <c r="I380">
        <v>34.6</v>
      </c>
      <c r="J380">
        <v>49.1</v>
      </c>
      <c r="K380">
        <f t="shared" si="10"/>
        <v>39.299999999999997</v>
      </c>
      <c r="L380" t="str">
        <f t="shared" si="11"/>
        <v>M</v>
      </c>
    </row>
    <row r="381" spans="1:12" x14ac:dyDescent="0.35">
      <c r="A381" t="s">
        <v>175</v>
      </c>
      <c r="B381" t="s">
        <v>315</v>
      </c>
      <c r="C381" t="s">
        <v>321</v>
      </c>
      <c r="D381">
        <v>198</v>
      </c>
      <c r="E381">
        <v>0.64100000000000001</v>
      </c>
      <c r="F381">
        <v>30.3</v>
      </c>
      <c r="G381">
        <v>28.8</v>
      </c>
      <c r="H381">
        <v>27.3</v>
      </c>
      <c r="I381">
        <v>34.799999999999997</v>
      </c>
      <c r="J381">
        <v>33.9</v>
      </c>
      <c r="K381">
        <f t="shared" si="10"/>
        <v>28.05</v>
      </c>
      <c r="L381" t="str">
        <f t="shared" si="11"/>
        <v>SH</v>
      </c>
    </row>
    <row r="382" spans="1:12" x14ac:dyDescent="0.35">
      <c r="A382" t="s">
        <v>175</v>
      </c>
      <c r="B382" t="s">
        <v>315</v>
      </c>
      <c r="C382" t="s">
        <v>322</v>
      </c>
      <c r="D382">
        <v>933</v>
      </c>
      <c r="E382">
        <v>0.747</v>
      </c>
      <c r="F382">
        <v>40.200000000000003</v>
      </c>
      <c r="G382">
        <v>35</v>
      </c>
      <c r="H382">
        <v>48.6</v>
      </c>
      <c r="I382">
        <v>37</v>
      </c>
      <c r="J382">
        <v>44.7</v>
      </c>
      <c r="K382">
        <f t="shared" si="10"/>
        <v>41.8</v>
      </c>
      <c r="L382" t="str">
        <f t="shared" si="11"/>
        <v>G</v>
      </c>
    </row>
    <row r="383" spans="1:12" x14ac:dyDescent="0.35">
      <c r="A383" t="s">
        <v>175</v>
      </c>
      <c r="B383" t="s">
        <v>315</v>
      </c>
      <c r="C383" t="s">
        <v>323</v>
      </c>
      <c r="D383">
        <v>1725</v>
      </c>
      <c r="E383">
        <v>0.69399999999999995</v>
      </c>
      <c r="F383">
        <v>34.5</v>
      </c>
      <c r="G383">
        <v>36.5</v>
      </c>
      <c r="H383">
        <v>36.299999999999997</v>
      </c>
      <c r="I383">
        <v>30.6</v>
      </c>
      <c r="J383">
        <v>47.6</v>
      </c>
      <c r="K383">
        <f t="shared" si="10"/>
        <v>36.4</v>
      </c>
      <c r="L383" t="str">
        <f t="shared" si="11"/>
        <v>F</v>
      </c>
    </row>
    <row r="384" spans="1:12" x14ac:dyDescent="0.35">
      <c r="A384" t="s">
        <v>175</v>
      </c>
      <c r="B384" t="s">
        <v>315</v>
      </c>
      <c r="C384" t="s">
        <v>324</v>
      </c>
      <c r="D384">
        <v>588</v>
      </c>
      <c r="E384">
        <v>0.73099999999999998</v>
      </c>
      <c r="F384">
        <v>36.700000000000003</v>
      </c>
      <c r="G384">
        <v>38.799999999999997</v>
      </c>
      <c r="H384">
        <v>34.200000000000003</v>
      </c>
      <c r="I384">
        <v>37.200000000000003</v>
      </c>
      <c r="J384">
        <v>44.8</v>
      </c>
      <c r="K384">
        <f t="shared" si="10"/>
        <v>36.5</v>
      </c>
      <c r="L384" t="str">
        <f t="shared" si="11"/>
        <v>M2-1</v>
      </c>
    </row>
    <row r="385" spans="1:12" x14ac:dyDescent="0.35">
      <c r="A385" t="s">
        <v>175</v>
      </c>
      <c r="B385" t="s">
        <v>315</v>
      </c>
      <c r="C385" t="s">
        <v>325</v>
      </c>
      <c r="D385">
        <v>273</v>
      </c>
      <c r="E385">
        <v>0.68600000000000005</v>
      </c>
      <c r="F385">
        <v>28.2</v>
      </c>
      <c r="G385">
        <v>35.200000000000003</v>
      </c>
      <c r="H385">
        <v>24.2</v>
      </c>
      <c r="I385">
        <v>25.3</v>
      </c>
      <c r="J385">
        <v>45</v>
      </c>
      <c r="K385">
        <f t="shared" si="10"/>
        <v>29.700000000000003</v>
      </c>
      <c r="L385" t="str">
        <f t="shared" si="11"/>
        <v>M2-2</v>
      </c>
    </row>
    <row r="386" spans="1:12" x14ac:dyDescent="0.35">
      <c r="A386" t="s">
        <v>175</v>
      </c>
      <c r="B386" t="s">
        <v>315</v>
      </c>
      <c r="C386" t="s">
        <v>326</v>
      </c>
      <c r="D386">
        <v>6501</v>
      </c>
      <c r="E386">
        <v>0.69599999999999995</v>
      </c>
      <c r="F386">
        <v>31.2</v>
      </c>
      <c r="G386">
        <v>36.4</v>
      </c>
      <c r="H386">
        <v>31.5</v>
      </c>
      <c r="I386">
        <v>25.8</v>
      </c>
      <c r="J386">
        <v>42.8</v>
      </c>
      <c r="K386">
        <f t="shared" si="10"/>
        <v>33.950000000000003</v>
      </c>
      <c r="L386" t="str">
        <f t="shared" si="11"/>
        <v>L</v>
      </c>
    </row>
    <row r="387" spans="1:12" x14ac:dyDescent="0.35">
      <c r="A387" t="s">
        <v>175</v>
      </c>
      <c r="B387" t="s">
        <v>167</v>
      </c>
      <c r="C387" t="s">
        <v>221</v>
      </c>
      <c r="D387">
        <v>420</v>
      </c>
      <c r="E387">
        <v>0.68200000000000005</v>
      </c>
      <c r="F387">
        <v>30.2</v>
      </c>
      <c r="G387">
        <v>36.4</v>
      </c>
      <c r="H387">
        <v>30</v>
      </c>
      <c r="I387">
        <v>24.3</v>
      </c>
      <c r="J387">
        <v>37.799999999999997</v>
      </c>
      <c r="K387">
        <f t="shared" ref="K387:K397" si="12">(G387+H387)/2</f>
        <v>33.200000000000003</v>
      </c>
      <c r="L387" t="str">
        <f t="shared" ref="L387:L397" si="13">IF(ISNUMBER(SEARCH("M2-1",C387)),"M2-1",IF(ISNUMBER(SEARCH("M2-2",C387)),"M2-2",IF(LEFT(C387,3)="NS1","NS1",IF(LEFT(C387,3)="NS2","NS2",IF(LEFT(C387,2)="N_","N",IF(LEFT(C387,2)="P_","P",IF(LEFT(C387,2)="M_","M",IF(LEFT(C387,2)="SH","SH",IF(LEFT(C387,2)="G_","G",IF(LEFT(C387,2)="F_","F",IF(LEFT(C387,2)="L_","L","UNKNOWN")))))))))))</f>
        <v>NS1</v>
      </c>
    </row>
    <row r="388" spans="1:12" x14ac:dyDescent="0.35">
      <c r="A388" t="s">
        <v>175</v>
      </c>
      <c r="B388" t="s">
        <v>167</v>
      </c>
      <c r="C388" t="s">
        <v>222</v>
      </c>
      <c r="D388">
        <v>375</v>
      </c>
      <c r="E388">
        <v>0.73899999999999999</v>
      </c>
      <c r="F388">
        <v>34.700000000000003</v>
      </c>
      <c r="G388">
        <v>30.4</v>
      </c>
      <c r="H388">
        <v>31.2</v>
      </c>
      <c r="I388">
        <v>42.4</v>
      </c>
      <c r="J388">
        <v>37.1</v>
      </c>
      <c r="K388">
        <f t="shared" si="12"/>
        <v>30.799999999999997</v>
      </c>
      <c r="L388" t="str">
        <f t="shared" si="13"/>
        <v>NS2</v>
      </c>
    </row>
    <row r="389" spans="1:12" x14ac:dyDescent="0.35">
      <c r="A389" t="s">
        <v>175</v>
      </c>
      <c r="B389" t="s">
        <v>167</v>
      </c>
      <c r="C389" t="s">
        <v>327</v>
      </c>
      <c r="D389">
        <v>1176</v>
      </c>
      <c r="E389">
        <v>0.67700000000000005</v>
      </c>
      <c r="F389">
        <v>37</v>
      </c>
      <c r="G389">
        <v>48.7</v>
      </c>
      <c r="H389">
        <v>33.200000000000003</v>
      </c>
      <c r="I389">
        <v>29.1</v>
      </c>
      <c r="J389">
        <v>44.2</v>
      </c>
      <c r="K389">
        <f t="shared" si="12"/>
        <v>40.950000000000003</v>
      </c>
      <c r="L389" t="str">
        <f t="shared" si="13"/>
        <v>N</v>
      </c>
    </row>
    <row r="390" spans="1:12" x14ac:dyDescent="0.35">
      <c r="A390" t="s">
        <v>175</v>
      </c>
      <c r="B390" t="s">
        <v>167</v>
      </c>
      <c r="C390" t="s">
        <v>328</v>
      </c>
      <c r="D390">
        <v>726</v>
      </c>
      <c r="E390">
        <v>0.73799999999999999</v>
      </c>
      <c r="F390">
        <v>37.299999999999997</v>
      </c>
      <c r="G390">
        <v>43.8</v>
      </c>
      <c r="H390">
        <v>36.4</v>
      </c>
      <c r="I390">
        <v>31.8</v>
      </c>
      <c r="J390">
        <v>45.8</v>
      </c>
      <c r="K390">
        <f t="shared" si="12"/>
        <v>40.099999999999994</v>
      </c>
      <c r="L390" t="str">
        <f t="shared" si="13"/>
        <v>P</v>
      </c>
    </row>
    <row r="391" spans="1:12" x14ac:dyDescent="0.35">
      <c r="A391" t="s">
        <v>175</v>
      </c>
      <c r="B391" t="s">
        <v>167</v>
      </c>
      <c r="C391" t="s">
        <v>151</v>
      </c>
      <c r="D391">
        <v>771</v>
      </c>
      <c r="E391">
        <v>0.70499999999999996</v>
      </c>
      <c r="F391">
        <v>37.200000000000003</v>
      </c>
      <c r="G391">
        <v>41.2</v>
      </c>
      <c r="H391">
        <v>37</v>
      </c>
      <c r="I391">
        <v>33.5</v>
      </c>
      <c r="J391">
        <v>49.4</v>
      </c>
      <c r="K391">
        <f t="shared" si="12"/>
        <v>39.1</v>
      </c>
      <c r="L391" t="str">
        <f t="shared" si="13"/>
        <v>M</v>
      </c>
    </row>
    <row r="392" spans="1:12" x14ac:dyDescent="0.35">
      <c r="A392" t="s">
        <v>175</v>
      </c>
      <c r="B392" t="s">
        <v>167</v>
      </c>
      <c r="C392" t="s">
        <v>329</v>
      </c>
      <c r="D392">
        <v>198</v>
      </c>
      <c r="E392">
        <v>0.64800000000000002</v>
      </c>
      <c r="F392">
        <v>29.3</v>
      </c>
      <c r="G392">
        <v>28.8</v>
      </c>
      <c r="H392">
        <v>27.3</v>
      </c>
      <c r="I392">
        <v>31.8</v>
      </c>
      <c r="J392">
        <v>33.9</v>
      </c>
      <c r="K392">
        <f t="shared" si="12"/>
        <v>28.05</v>
      </c>
      <c r="L392" t="str">
        <f t="shared" si="13"/>
        <v>SH</v>
      </c>
    </row>
    <row r="393" spans="1:12" x14ac:dyDescent="0.35">
      <c r="A393" t="s">
        <v>175</v>
      </c>
      <c r="B393" t="s">
        <v>167</v>
      </c>
      <c r="C393" t="s">
        <v>330</v>
      </c>
      <c r="D393">
        <v>954</v>
      </c>
      <c r="E393">
        <v>0.747</v>
      </c>
      <c r="F393">
        <v>40.799999999999997</v>
      </c>
      <c r="G393">
        <v>36.200000000000003</v>
      </c>
      <c r="H393">
        <v>48.4</v>
      </c>
      <c r="I393">
        <v>37.700000000000003</v>
      </c>
      <c r="J393">
        <v>46.4</v>
      </c>
      <c r="K393">
        <f t="shared" si="12"/>
        <v>42.3</v>
      </c>
      <c r="L393" t="str">
        <f t="shared" si="13"/>
        <v>G</v>
      </c>
    </row>
    <row r="394" spans="1:12" x14ac:dyDescent="0.35">
      <c r="A394" t="s">
        <v>175</v>
      </c>
      <c r="B394" t="s">
        <v>167</v>
      </c>
      <c r="C394" t="s">
        <v>331</v>
      </c>
      <c r="D394">
        <v>1725</v>
      </c>
      <c r="E394">
        <v>0.69299999999999995</v>
      </c>
      <c r="F394">
        <v>34.5</v>
      </c>
      <c r="G394">
        <v>36.5</v>
      </c>
      <c r="H394">
        <v>36.5</v>
      </c>
      <c r="I394">
        <v>30.4</v>
      </c>
      <c r="J394">
        <v>48</v>
      </c>
      <c r="K394">
        <f t="shared" si="12"/>
        <v>36.5</v>
      </c>
      <c r="L394" t="str">
        <f t="shared" si="13"/>
        <v>F</v>
      </c>
    </row>
    <row r="395" spans="1:12" x14ac:dyDescent="0.35">
      <c r="A395" t="s">
        <v>175</v>
      </c>
      <c r="B395" t="s">
        <v>167</v>
      </c>
      <c r="C395" t="s">
        <v>332</v>
      </c>
      <c r="D395">
        <v>588</v>
      </c>
      <c r="E395">
        <v>0.73099999999999998</v>
      </c>
      <c r="F395">
        <v>36.200000000000003</v>
      </c>
      <c r="G395">
        <v>38.299999999999997</v>
      </c>
      <c r="H395">
        <v>34.200000000000003</v>
      </c>
      <c r="I395">
        <v>36.200000000000003</v>
      </c>
      <c r="J395">
        <v>46.3</v>
      </c>
      <c r="K395">
        <f t="shared" si="12"/>
        <v>36.25</v>
      </c>
      <c r="L395" t="str">
        <f t="shared" si="13"/>
        <v>M2-1</v>
      </c>
    </row>
    <row r="396" spans="1:12" x14ac:dyDescent="0.35">
      <c r="A396" t="s">
        <v>175</v>
      </c>
      <c r="B396" t="s">
        <v>167</v>
      </c>
      <c r="C396" t="s">
        <v>333</v>
      </c>
      <c r="D396">
        <v>273</v>
      </c>
      <c r="E396">
        <v>0.67900000000000005</v>
      </c>
      <c r="F396">
        <v>27.8</v>
      </c>
      <c r="G396">
        <v>34.1</v>
      </c>
      <c r="H396">
        <v>24.2</v>
      </c>
      <c r="I396">
        <v>25.3</v>
      </c>
      <c r="J396">
        <v>43.8</v>
      </c>
      <c r="K396">
        <f t="shared" si="12"/>
        <v>29.15</v>
      </c>
      <c r="L396" t="str">
        <f t="shared" si="13"/>
        <v>M2-2</v>
      </c>
    </row>
    <row r="397" spans="1:12" x14ac:dyDescent="0.35">
      <c r="A397" t="s">
        <v>175</v>
      </c>
      <c r="B397" t="s">
        <v>167</v>
      </c>
      <c r="C397" t="s">
        <v>334</v>
      </c>
      <c r="D397">
        <v>6501</v>
      </c>
      <c r="E397">
        <v>0.69499999999999995</v>
      </c>
      <c r="F397">
        <v>31.2</v>
      </c>
      <c r="G397">
        <v>36.5</v>
      </c>
      <c r="H397">
        <v>31.5</v>
      </c>
      <c r="I397">
        <v>25.6</v>
      </c>
      <c r="J397">
        <v>42.8</v>
      </c>
      <c r="K397">
        <f t="shared" si="12"/>
        <v>34</v>
      </c>
      <c r="L397" t="str">
        <f t="shared" si="13"/>
        <v>L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252F-ED9B-4DB8-AB90-6EADE38577ED}">
  <dimension ref="A1:L199"/>
  <sheetViews>
    <sheetView topLeftCell="G1" workbookViewId="0">
      <selection activeCell="R19" sqref="R19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335</v>
      </c>
      <c r="L1" s="1" t="s">
        <v>336</v>
      </c>
    </row>
    <row r="2" spans="1:12" x14ac:dyDescent="0.35">
      <c r="A2" t="s">
        <v>175</v>
      </c>
      <c r="B2" t="s">
        <v>11</v>
      </c>
      <c r="C2" t="s">
        <v>176</v>
      </c>
      <c r="D2">
        <v>420</v>
      </c>
      <c r="E2">
        <v>0.68300000000000005</v>
      </c>
      <c r="F2">
        <v>30.2</v>
      </c>
      <c r="G2">
        <v>36.4</v>
      </c>
      <c r="H2">
        <v>30</v>
      </c>
      <c r="I2">
        <v>24.3</v>
      </c>
      <c r="J2">
        <v>37.799999999999997</v>
      </c>
      <c r="K2">
        <f t="shared" ref="K2:K65" si="0">(G2+H2)/2</f>
        <v>33.200000000000003</v>
      </c>
      <c r="L2" t="str">
        <f t="shared" ref="L2:L65" si="1">IF(ISNUMBER(SEARCH("M2-1",C2)),"M2-1",IF(ISNUMBER(SEARCH("M2-2",C2)),"M2-2",IF(LEFT(C2,3)="NS1","NS1",IF(LEFT(C2,3)="NS2","NS2",IF(LEFT(C2,2)="N_","N",IF(LEFT(C2,2)="P_","P",IF(LEFT(C2,2)="M_","M",IF(LEFT(C2,2)="SH","SH",IF(LEFT(C2,2)="G_","G",IF(LEFT(C2,2)="F_","F",IF(LEFT(C2,2)="L_","L","UNKNOWN")))))))))))</f>
        <v>NS1</v>
      </c>
    </row>
    <row r="3" spans="1:12" x14ac:dyDescent="0.35">
      <c r="A3" t="s">
        <v>175</v>
      </c>
      <c r="B3" t="s">
        <v>11</v>
      </c>
      <c r="C3" t="s">
        <v>177</v>
      </c>
      <c r="D3">
        <v>375</v>
      </c>
      <c r="E3">
        <v>0.73499999999999999</v>
      </c>
      <c r="F3">
        <v>34.9</v>
      </c>
      <c r="G3">
        <v>31.2</v>
      </c>
      <c r="H3">
        <v>31.2</v>
      </c>
      <c r="I3">
        <v>42.4</v>
      </c>
      <c r="J3">
        <v>37.1</v>
      </c>
      <c r="K3">
        <f t="shared" si="0"/>
        <v>31.2</v>
      </c>
      <c r="L3" t="str">
        <f t="shared" si="1"/>
        <v>NS2</v>
      </c>
    </row>
    <row r="4" spans="1:12" x14ac:dyDescent="0.35">
      <c r="A4" t="s">
        <v>175</v>
      </c>
      <c r="B4" t="s">
        <v>11</v>
      </c>
      <c r="C4" t="s">
        <v>178</v>
      </c>
      <c r="D4">
        <v>1176</v>
      </c>
      <c r="E4">
        <v>0.67500000000000004</v>
      </c>
      <c r="F4">
        <v>37</v>
      </c>
      <c r="G4">
        <v>48.7</v>
      </c>
      <c r="H4">
        <v>33.4</v>
      </c>
      <c r="I4">
        <v>28.8</v>
      </c>
      <c r="J4">
        <v>44.5</v>
      </c>
      <c r="K4">
        <f t="shared" si="0"/>
        <v>41.05</v>
      </c>
      <c r="L4" t="str">
        <f t="shared" si="1"/>
        <v>N</v>
      </c>
    </row>
    <row r="5" spans="1:12" x14ac:dyDescent="0.35">
      <c r="A5" t="s">
        <v>175</v>
      </c>
      <c r="B5" t="s">
        <v>11</v>
      </c>
      <c r="C5" t="s">
        <v>179</v>
      </c>
      <c r="D5">
        <v>726</v>
      </c>
      <c r="E5">
        <v>0.73899999999999999</v>
      </c>
      <c r="F5">
        <v>37.5</v>
      </c>
      <c r="G5">
        <v>43.8</v>
      </c>
      <c r="H5">
        <v>36.4</v>
      </c>
      <c r="I5">
        <v>32.200000000000003</v>
      </c>
      <c r="J5">
        <v>46.5</v>
      </c>
      <c r="K5">
        <f t="shared" si="0"/>
        <v>40.099999999999994</v>
      </c>
      <c r="L5" t="str">
        <f t="shared" si="1"/>
        <v>P</v>
      </c>
    </row>
    <row r="6" spans="1:12" x14ac:dyDescent="0.35">
      <c r="A6" t="s">
        <v>175</v>
      </c>
      <c r="B6" t="s">
        <v>11</v>
      </c>
      <c r="C6" t="s">
        <v>94</v>
      </c>
      <c r="D6">
        <v>771</v>
      </c>
      <c r="E6">
        <v>0.70299999999999996</v>
      </c>
      <c r="F6">
        <v>37.4</v>
      </c>
      <c r="G6">
        <v>41.2</v>
      </c>
      <c r="H6">
        <v>37</v>
      </c>
      <c r="I6">
        <v>33.9</v>
      </c>
      <c r="J6">
        <v>49.4</v>
      </c>
      <c r="K6">
        <f t="shared" si="0"/>
        <v>39.1</v>
      </c>
      <c r="L6" t="str">
        <f t="shared" si="1"/>
        <v>M</v>
      </c>
    </row>
    <row r="7" spans="1:12" x14ac:dyDescent="0.35">
      <c r="A7" t="s">
        <v>175</v>
      </c>
      <c r="B7" t="s">
        <v>11</v>
      </c>
      <c r="C7" t="s">
        <v>180</v>
      </c>
      <c r="D7">
        <v>198</v>
      </c>
      <c r="E7">
        <v>0.65</v>
      </c>
      <c r="F7">
        <v>29.8</v>
      </c>
      <c r="G7">
        <v>28.8</v>
      </c>
      <c r="H7">
        <v>27.3</v>
      </c>
      <c r="I7">
        <v>33.299999999999997</v>
      </c>
      <c r="J7">
        <v>33.9</v>
      </c>
      <c r="K7">
        <f t="shared" si="0"/>
        <v>28.05</v>
      </c>
      <c r="L7" t="str">
        <f t="shared" si="1"/>
        <v>SH</v>
      </c>
    </row>
    <row r="8" spans="1:12" x14ac:dyDescent="0.35">
      <c r="A8" t="s">
        <v>175</v>
      </c>
      <c r="B8" t="s">
        <v>11</v>
      </c>
      <c r="C8" t="s">
        <v>181</v>
      </c>
      <c r="D8">
        <v>933</v>
      </c>
      <c r="E8">
        <v>0.749</v>
      </c>
      <c r="F8">
        <v>40.9</v>
      </c>
      <c r="G8">
        <v>36</v>
      </c>
      <c r="H8">
        <v>49.2</v>
      </c>
      <c r="I8">
        <v>37.6</v>
      </c>
      <c r="J8">
        <v>45.2</v>
      </c>
      <c r="K8">
        <f t="shared" si="0"/>
        <v>42.6</v>
      </c>
      <c r="L8" t="str">
        <f t="shared" si="1"/>
        <v>G</v>
      </c>
    </row>
    <row r="9" spans="1:12" x14ac:dyDescent="0.35">
      <c r="A9" t="s">
        <v>175</v>
      </c>
      <c r="B9" t="s">
        <v>11</v>
      </c>
      <c r="C9" t="s">
        <v>182</v>
      </c>
      <c r="D9">
        <v>1725</v>
      </c>
      <c r="E9">
        <v>0.69199999999999995</v>
      </c>
      <c r="F9">
        <v>34.700000000000003</v>
      </c>
      <c r="G9">
        <v>36.700000000000003</v>
      </c>
      <c r="H9">
        <v>36.5</v>
      </c>
      <c r="I9">
        <v>30.8</v>
      </c>
      <c r="J9">
        <v>48.3</v>
      </c>
      <c r="K9">
        <f t="shared" si="0"/>
        <v>36.6</v>
      </c>
      <c r="L9" t="str">
        <f t="shared" si="1"/>
        <v>F</v>
      </c>
    </row>
    <row r="10" spans="1:12" x14ac:dyDescent="0.35">
      <c r="A10" t="s">
        <v>175</v>
      </c>
      <c r="B10" t="s">
        <v>11</v>
      </c>
      <c r="C10" t="s">
        <v>183</v>
      </c>
      <c r="D10">
        <v>588</v>
      </c>
      <c r="E10">
        <v>0.73599999999999999</v>
      </c>
      <c r="F10">
        <v>36.4</v>
      </c>
      <c r="G10">
        <v>38.299999999999997</v>
      </c>
      <c r="H10">
        <v>34.200000000000003</v>
      </c>
      <c r="I10">
        <v>36.700000000000003</v>
      </c>
      <c r="J10">
        <v>45</v>
      </c>
      <c r="K10">
        <f t="shared" si="0"/>
        <v>36.25</v>
      </c>
      <c r="L10" t="str">
        <f t="shared" si="1"/>
        <v>M2-1</v>
      </c>
    </row>
    <row r="11" spans="1:12" x14ac:dyDescent="0.35">
      <c r="A11" t="s">
        <v>175</v>
      </c>
      <c r="B11" t="s">
        <v>11</v>
      </c>
      <c r="C11" t="s">
        <v>184</v>
      </c>
      <c r="D11">
        <v>273</v>
      </c>
      <c r="E11">
        <v>0.68799999999999994</v>
      </c>
      <c r="F11">
        <v>27.8</v>
      </c>
      <c r="G11">
        <v>33</v>
      </c>
      <c r="H11">
        <v>24.2</v>
      </c>
      <c r="I11">
        <v>26.4</v>
      </c>
      <c r="J11">
        <v>44.3</v>
      </c>
      <c r="K11">
        <f t="shared" si="0"/>
        <v>28.6</v>
      </c>
      <c r="L11" t="str">
        <f t="shared" si="1"/>
        <v>M2-2</v>
      </c>
    </row>
    <row r="12" spans="1:12" x14ac:dyDescent="0.35">
      <c r="A12" t="s">
        <v>175</v>
      </c>
      <c r="B12" t="s">
        <v>11</v>
      </c>
      <c r="C12" t="s">
        <v>185</v>
      </c>
      <c r="D12">
        <v>6501</v>
      </c>
      <c r="E12">
        <v>0.69599999999999995</v>
      </c>
      <c r="F12">
        <v>31.3</v>
      </c>
      <c r="G12">
        <v>36.5</v>
      </c>
      <c r="H12">
        <v>31.4</v>
      </c>
      <c r="I12">
        <v>25.9</v>
      </c>
      <c r="J12">
        <v>43</v>
      </c>
      <c r="K12">
        <f t="shared" si="0"/>
        <v>33.950000000000003</v>
      </c>
      <c r="L12" t="str">
        <f t="shared" si="1"/>
        <v>L</v>
      </c>
    </row>
    <row r="13" spans="1:12" x14ac:dyDescent="0.35">
      <c r="A13" t="s">
        <v>175</v>
      </c>
      <c r="B13" t="s">
        <v>23</v>
      </c>
      <c r="C13" t="s">
        <v>176</v>
      </c>
      <c r="D13">
        <v>420</v>
      </c>
      <c r="E13">
        <v>0.68200000000000005</v>
      </c>
      <c r="F13">
        <v>30.2</v>
      </c>
      <c r="G13">
        <v>36.4</v>
      </c>
      <c r="H13">
        <v>30</v>
      </c>
      <c r="I13">
        <v>24.3</v>
      </c>
      <c r="J13">
        <v>37.799999999999997</v>
      </c>
      <c r="K13">
        <f t="shared" si="0"/>
        <v>33.200000000000003</v>
      </c>
      <c r="L13" t="str">
        <f t="shared" si="1"/>
        <v>NS1</v>
      </c>
    </row>
    <row r="14" spans="1:12" x14ac:dyDescent="0.35">
      <c r="A14" t="s">
        <v>175</v>
      </c>
      <c r="B14" t="s">
        <v>23</v>
      </c>
      <c r="C14" t="s">
        <v>177</v>
      </c>
      <c r="D14">
        <v>375</v>
      </c>
      <c r="E14">
        <v>0.73899999999999999</v>
      </c>
      <c r="F14">
        <v>34.9</v>
      </c>
      <c r="G14">
        <v>31.2</v>
      </c>
      <c r="H14">
        <v>31.2</v>
      </c>
      <c r="I14">
        <v>42.4</v>
      </c>
      <c r="J14">
        <v>41.1</v>
      </c>
      <c r="K14">
        <f t="shared" si="0"/>
        <v>31.2</v>
      </c>
      <c r="L14" t="str">
        <f t="shared" si="1"/>
        <v>NS2</v>
      </c>
    </row>
    <row r="15" spans="1:12" x14ac:dyDescent="0.35">
      <c r="A15" t="s">
        <v>175</v>
      </c>
      <c r="B15" t="s">
        <v>23</v>
      </c>
      <c r="C15" t="s">
        <v>186</v>
      </c>
      <c r="D15">
        <v>1176</v>
      </c>
      <c r="E15">
        <v>0.67600000000000005</v>
      </c>
      <c r="F15">
        <v>37.200000000000003</v>
      </c>
      <c r="G15">
        <v>49.2</v>
      </c>
      <c r="H15">
        <v>33.4</v>
      </c>
      <c r="I15">
        <v>29.1</v>
      </c>
      <c r="J15">
        <v>44.5</v>
      </c>
      <c r="K15">
        <f t="shared" si="0"/>
        <v>41.3</v>
      </c>
      <c r="L15" t="str">
        <f t="shared" si="1"/>
        <v>N</v>
      </c>
    </row>
    <row r="16" spans="1:12" x14ac:dyDescent="0.35">
      <c r="A16" t="s">
        <v>175</v>
      </c>
      <c r="B16" t="s">
        <v>23</v>
      </c>
      <c r="C16" t="s">
        <v>179</v>
      </c>
      <c r="D16">
        <v>726</v>
      </c>
      <c r="E16">
        <v>0.73499999999999999</v>
      </c>
      <c r="F16">
        <v>37.700000000000003</v>
      </c>
      <c r="G16">
        <v>44.2</v>
      </c>
      <c r="H16">
        <v>36.4</v>
      </c>
      <c r="I16">
        <v>32.6</v>
      </c>
      <c r="J16">
        <v>46.1</v>
      </c>
      <c r="K16">
        <f t="shared" si="0"/>
        <v>40.299999999999997</v>
      </c>
      <c r="L16" t="str">
        <f t="shared" si="1"/>
        <v>P</v>
      </c>
    </row>
    <row r="17" spans="1:12" x14ac:dyDescent="0.35">
      <c r="A17" t="s">
        <v>175</v>
      </c>
      <c r="B17" t="s">
        <v>23</v>
      </c>
      <c r="C17" t="s">
        <v>187</v>
      </c>
      <c r="D17">
        <v>837</v>
      </c>
      <c r="E17">
        <v>0.70399999999999996</v>
      </c>
      <c r="F17">
        <v>36.799999999999997</v>
      </c>
      <c r="G17">
        <v>41.6</v>
      </c>
      <c r="H17">
        <v>35.5</v>
      </c>
      <c r="I17">
        <v>33.299999999999997</v>
      </c>
      <c r="J17">
        <v>50.1</v>
      </c>
      <c r="K17">
        <f t="shared" si="0"/>
        <v>38.549999999999997</v>
      </c>
      <c r="L17" t="str">
        <f t="shared" si="1"/>
        <v>M</v>
      </c>
    </row>
    <row r="18" spans="1:12" x14ac:dyDescent="0.35">
      <c r="A18" t="s">
        <v>175</v>
      </c>
      <c r="B18" t="s">
        <v>23</v>
      </c>
      <c r="C18" t="s">
        <v>180</v>
      </c>
      <c r="D18">
        <v>198</v>
      </c>
      <c r="E18">
        <v>0.65</v>
      </c>
      <c r="F18">
        <v>29.8</v>
      </c>
      <c r="G18">
        <v>28.8</v>
      </c>
      <c r="H18">
        <v>27.3</v>
      </c>
      <c r="I18">
        <v>33.299999999999997</v>
      </c>
      <c r="J18">
        <v>33.9</v>
      </c>
      <c r="K18">
        <f t="shared" si="0"/>
        <v>28.05</v>
      </c>
      <c r="L18" t="str">
        <f t="shared" si="1"/>
        <v>SH</v>
      </c>
    </row>
    <row r="19" spans="1:12" x14ac:dyDescent="0.35">
      <c r="A19" t="s">
        <v>175</v>
      </c>
      <c r="B19" t="s">
        <v>23</v>
      </c>
      <c r="C19" t="s">
        <v>181</v>
      </c>
      <c r="D19">
        <v>933</v>
      </c>
      <c r="E19">
        <v>0.745</v>
      </c>
      <c r="F19">
        <v>40</v>
      </c>
      <c r="G19">
        <v>34.700000000000003</v>
      </c>
      <c r="H19">
        <v>48.9</v>
      </c>
      <c r="I19">
        <v>36.299999999999997</v>
      </c>
      <c r="J19">
        <v>44.8</v>
      </c>
      <c r="K19">
        <f t="shared" si="0"/>
        <v>41.8</v>
      </c>
      <c r="L19" t="str">
        <f t="shared" si="1"/>
        <v>G</v>
      </c>
    </row>
    <row r="20" spans="1:12" x14ac:dyDescent="0.35">
      <c r="A20" t="s">
        <v>175</v>
      </c>
      <c r="B20" t="s">
        <v>23</v>
      </c>
      <c r="C20" t="s">
        <v>182</v>
      </c>
      <c r="D20">
        <v>1725</v>
      </c>
      <c r="E20">
        <v>0.69599999999999995</v>
      </c>
      <c r="F20">
        <v>34.700000000000003</v>
      </c>
      <c r="G20">
        <v>36.299999999999997</v>
      </c>
      <c r="H20">
        <v>36.9</v>
      </c>
      <c r="I20">
        <v>30.8</v>
      </c>
      <c r="J20">
        <v>48</v>
      </c>
      <c r="K20">
        <f t="shared" si="0"/>
        <v>36.599999999999994</v>
      </c>
      <c r="L20" t="str">
        <f t="shared" si="1"/>
        <v>F</v>
      </c>
    </row>
    <row r="21" spans="1:12" x14ac:dyDescent="0.35">
      <c r="A21" t="s">
        <v>175</v>
      </c>
      <c r="B21" t="s">
        <v>23</v>
      </c>
      <c r="C21" t="s">
        <v>188</v>
      </c>
      <c r="D21">
        <v>588</v>
      </c>
      <c r="E21">
        <v>0.73299999999999998</v>
      </c>
      <c r="F21">
        <v>36.1</v>
      </c>
      <c r="G21">
        <v>38.299999999999997</v>
      </c>
      <c r="H21">
        <v>34.200000000000003</v>
      </c>
      <c r="I21">
        <v>35.700000000000003</v>
      </c>
      <c r="J21">
        <v>44.7</v>
      </c>
      <c r="K21">
        <f t="shared" si="0"/>
        <v>36.25</v>
      </c>
      <c r="L21" t="str">
        <f t="shared" si="1"/>
        <v>M2-1</v>
      </c>
    </row>
    <row r="22" spans="1:12" x14ac:dyDescent="0.35">
      <c r="A22" t="s">
        <v>175</v>
      </c>
      <c r="B22" t="s">
        <v>23</v>
      </c>
      <c r="C22" t="s">
        <v>189</v>
      </c>
      <c r="D22">
        <v>273</v>
      </c>
      <c r="E22">
        <v>0.69299999999999995</v>
      </c>
      <c r="F22">
        <v>28.2</v>
      </c>
      <c r="G22">
        <v>35.200000000000003</v>
      </c>
      <c r="H22">
        <v>23.1</v>
      </c>
      <c r="I22">
        <v>26.4</v>
      </c>
      <c r="J22">
        <v>37.4</v>
      </c>
      <c r="K22">
        <f t="shared" si="0"/>
        <v>29.150000000000002</v>
      </c>
      <c r="L22" t="str">
        <f t="shared" si="1"/>
        <v>M2-2</v>
      </c>
    </row>
    <row r="23" spans="1:12" x14ac:dyDescent="0.35">
      <c r="A23" t="s">
        <v>175</v>
      </c>
      <c r="B23" t="s">
        <v>23</v>
      </c>
      <c r="C23" t="s">
        <v>190</v>
      </c>
      <c r="D23">
        <v>6501</v>
      </c>
      <c r="E23">
        <v>0.69499999999999995</v>
      </c>
      <c r="F23">
        <v>31.2</v>
      </c>
      <c r="G23">
        <v>36.5</v>
      </c>
      <c r="H23">
        <v>31.5</v>
      </c>
      <c r="I23">
        <v>25.6</v>
      </c>
      <c r="J23">
        <v>42.9</v>
      </c>
      <c r="K23">
        <f t="shared" si="0"/>
        <v>34</v>
      </c>
      <c r="L23" t="str">
        <f t="shared" si="1"/>
        <v>L</v>
      </c>
    </row>
    <row r="24" spans="1:12" x14ac:dyDescent="0.35">
      <c r="A24" t="s">
        <v>175</v>
      </c>
      <c r="B24" t="s">
        <v>35</v>
      </c>
      <c r="C24" t="s">
        <v>191</v>
      </c>
      <c r="D24">
        <v>420</v>
      </c>
      <c r="E24">
        <v>0.68</v>
      </c>
      <c r="F24">
        <v>30.2</v>
      </c>
      <c r="G24">
        <v>36.4</v>
      </c>
      <c r="H24">
        <v>30</v>
      </c>
      <c r="I24">
        <v>24.3</v>
      </c>
      <c r="J24">
        <v>37.9</v>
      </c>
      <c r="K24">
        <f t="shared" si="0"/>
        <v>33.200000000000003</v>
      </c>
      <c r="L24" t="str">
        <f t="shared" si="1"/>
        <v>NS1</v>
      </c>
    </row>
    <row r="25" spans="1:12" x14ac:dyDescent="0.35">
      <c r="A25" t="s">
        <v>175</v>
      </c>
      <c r="B25" t="s">
        <v>35</v>
      </c>
      <c r="C25" t="s">
        <v>66</v>
      </c>
      <c r="D25">
        <v>375</v>
      </c>
      <c r="E25">
        <v>0.73199999999999998</v>
      </c>
      <c r="F25">
        <v>33.9</v>
      </c>
      <c r="G25">
        <v>30.4</v>
      </c>
      <c r="H25">
        <v>31.2</v>
      </c>
      <c r="I25">
        <v>40</v>
      </c>
      <c r="J25">
        <v>43.6</v>
      </c>
      <c r="K25">
        <f t="shared" si="0"/>
        <v>30.799999999999997</v>
      </c>
      <c r="L25" t="str">
        <f t="shared" si="1"/>
        <v>NS2</v>
      </c>
    </row>
    <row r="26" spans="1:12" x14ac:dyDescent="0.35">
      <c r="A26" t="s">
        <v>175</v>
      </c>
      <c r="B26" t="s">
        <v>35</v>
      </c>
      <c r="C26" t="s">
        <v>192</v>
      </c>
      <c r="D26">
        <v>1176</v>
      </c>
      <c r="E26">
        <v>0.68</v>
      </c>
      <c r="F26">
        <v>37.4</v>
      </c>
      <c r="G26">
        <v>49</v>
      </c>
      <c r="H26">
        <v>33.4</v>
      </c>
      <c r="I26">
        <v>29.8</v>
      </c>
      <c r="J26">
        <v>45.5</v>
      </c>
      <c r="K26">
        <f t="shared" si="0"/>
        <v>41.2</v>
      </c>
      <c r="L26" t="str">
        <f t="shared" si="1"/>
        <v>N</v>
      </c>
    </row>
    <row r="27" spans="1:12" x14ac:dyDescent="0.35">
      <c r="A27" t="s">
        <v>175</v>
      </c>
      <c r="B27" t="s">
        <v>35</v>
      </c>
      <c r="C27" t="s">
        <v>193</v>
      </c>
      <c r="D27">
        <v>726</v>
      </c>
      <c r="E27">
        <v>0.73499999999999999</v>
      </c>
      <c r="F27">
        <v>37.5</v>
      </c>
      <c r="G27">
        <v>44.2</v>
      </c>
      <c r="H27">
        <v>36.4</v>
      </c>
      <c r="I27">
        <v>31.8</v>
      </c>
      <c r="J27">
        <v>45.4</v>
      </c>
      <c r="K27">
        <f t="shared" si="0"/>
        <v>40.299999999999997</v>
      </c>
      <c r="L27" t="str">
        <f t="shared" si="1"/>
        <v>P</v>
      </c>
    </row>
    <row r="28" spans="1:12" x14ac:dyDescent="0.35">
      <c r="A28" t="s">
        <v>175</v>
      </c>
      <c r="B28" t="s">
        <v>35</v>
      </c>
      <c r="C28" t="s">
        <v>194</v>
      </c>
      <c r="D28">
        <v>771</v>
      </c>
      <c r="E28">
        <v>0.69</v>
      </c>
      <c r="F28">
        <v>36.799999999999997</v>
      </c>
      <c r="G28">
        <v>41.6</v>
      </c>
      <c r="H28">
        <v>36.6</v>
      </c>
      <c r="I28">
        <v>32.299999999999997</v>
      </c>
      <c r="J28">
        <v>49.4</v>
      </c>
      <c r="K28">
        <f t="shared" si="0"/>
        <v>39.1</v>
      </c>
      <c r="L28" t="str">
        <f t="shared" si="1"/>
        <v>M</v>
      </c>
    </row>
    <row r="29" spans="1:12" x14ac:dyDescent="0.35">
      <c r="A29" t="s">
        <v>175</v>
      </c>
      <c r="B29" t="s">
        <v>35</v>
      </c>
      <c r="C29" t="s">
        <v>195</v>
      </c>
      <c r="D29">
        <v>198</v>
      </c>
      <c r="E29">
        <v>0.64600000000000002</v>
      </c>
      <c r="F29">
        <v>28.3</v>
      </c>
      <c r="G29">
        <v>27.3</v>
      </c>
      <c r="H29">
        <v>27.3</v>
      </c>
      <c r="I29">
        <v>30.3</v>
      </c>
      <c r="J29">
        <v>32.9</v>
      </c>
      <c r="K29">
        <f t="shared" si="0"/>
        <v>27.3</v>
      </c>
      <c r="L29" t="str">
        <f t="shared" si="1"/>
        <v>SH</v>
      </c>
    </row>
    <row r="30" spans="1:12" x14ac:dyDescent="0.35">
      <c r="A30" t="s">
        <v>175</v>
      </c>
      <c r="B30" t="s">
        <v>35</v>
      </c>
      <c r="C30" t="s">
        <v>196</v>
      </c>
      <c r="D30">
        <v>954</v>
      </c>
      <c r="E30">
        <v>0.74199999999999999</v>
      </c>
      <c r="F30">
        <v>40.1</v>
      </c>
      <c r="G30">
        <v>34.9</v>
      </c>
      <c r="H30">
        <v>48.4</v>
      </c>
      <c r="I30">
        <v>37.1</v>
      </c>
      <c r="J30">
        <v>44.1</v>
      </c>
      <c r="K30">
        <f t="shared" si="0"/>
        <v>41.65</v>
      </c>
      <c r="L30" t="str">
        <f t="shared" si="1"/>
        <v>G</v>
      </c>
    </row>
    <row r="31" spans="1:12" x14ac:dyDescent="0.35">
      <c r="A31" t="s">
        <v>175</v>
      </c>
      <c r="B31" t="s">
        <v>35</v>
      </c>
      <c r="C31" t="s">
        <v>197</v>
      </c>
      <c r="D31">
        <v>1725</v>
      </c>
      <c r="E31">
        <v>0.69599999999999995</v>
      </c>
      <c r="F31">
        <v>34.799999999999997</v>
      </c>
      <c r="G31">
        <v>36.299999999999997</v>
      </c>
      <c r="H31">
        <v>36.9</v>
      </c>
      <c r="I31">
        <v>31.1</v>
      </c>
      <c r="J31">
        <v>48.1</v>
      </c>
      <c r="K31">
        <f t="shared" si="0"/>
        <v>36.599999999999994</v>
      </c>
      <c r="L31" t="str">
        <f t="shared" si="1"/>
        <v>F</v>
      </c>
    </row>
    <row r="32" spans="1:12" x14ac:dyDescent="0.35">
      <c r="A32" t="s">
        <v>175</v>
      </c>
      <c r="B32" t="s">
        <v>35</v>
      </c>
      <c r="C32" t="s">
        <v>198</v>
      </c>
      <c r="D32">
        <v>588</v>
      </c>
      <c r="E32">
        <v>0.73399999999999999</v>
      </c>
      <c r="F32">
        <v>36.700000000000003</v>
      </c>
      <c r="G32">
        <v>38.799999999999997</v>
      </c>
      <c r="H32">
        <v>34.200000000000003</v>
      </c>
      <c r="I32">
        <v>37.200000000000003</v>
      </c>
      <c r="J32">
        <v>45.9</v>
      </c>
      <c r="K32">
        <f t="shared" si="0"/>
        <v>36.5</v>
      </c>
      <c r="L32" t="str">
        <f t="shared" si="1"/>
        <v>M2-1</v>
      </c>
    </row>
    <row r="33" spans="1:12" x14ac:dyDescent="0.35">
      <c r="A33" t="s">
        <v>175</v>
      </c>
      <c r="B33" t="s">
        <v>35</v>
      </c>
      <c r="C33" t="s">
        <v>199</v>
      </c>
      <c r="D33">
        <v>273</v>
      </c>
      <c r="E33">
        <v>0.69699999999999995</v>
      </c>
      <c r="F33">
        <v>28.9</v>
      </c>
      <c r="G33">
        <v>35.200000000000003</v>
      </c>
      <c r="H33">
        <v>24.2</v>
      </c>
      <c r="I33">
        <v>27.5</v>
      </c>
      <c r="J33">
        <v>42.9</v>
      </c>
      <c r="K33">
        <f t="shared" si="0"/>
        <v>29.700000000000003</v>
      </c>
      <c r="L33" t="str">
        <f t="shared" si="1"/>
        <v>M2-2</v>
      </c>
    </row>
    <row r="34" spans="1:12" x14ac:dyDescent="0.35">
      <c r="A34" t="s">
        <v>175</v>
      </c>
      <c r="B34" t="s">
        <v>35</v>
      </c>
      <c r="C34" t="s">
        <v>200</v>
      </c>
      <c r="D34">
        <v>6501</v>
      </c>
      <c r="E34">
        <v>0.69399999999999995</v>
      </c>
      <c r="F34">
        <v>31.2</v>
      </c>
      <c r="G34">
        <v>36.5</v>
      </c>
      <c r="H34">
        <v>31.4</v>
      </c>
      <c r="I34">
        <v>25.8</v>
      </c>
      <c r="J34">
        <v>43</v>
      </c>
      <c r="K34">
        <f t="shared" si="0"/>
        <v>33.950000000000003</v>
      </c>
      <c r="L34" t="str">
        <f t="shared" si="1"/>
        <v>L</v>
      </c>
    </row>
    <row r="35" spans="1:12" x14ac:dyDescent="0.35">
      <c r="A35" t="s">
        <v>175</v>
      </c>
      <c r="B35" t="s">
        <v>47</v>
      </c>
      <c r="C35" t="s">
        <v>12</v>
      </c>
      <c r="D35">
        <v>420</v>
      </c>
      <c r="E35">
        <v>0.68200000000000005</v>
      </c>
      <c r="F35">
        <v>30.2</v>
      </c>
      <c r="G35">
        <v>36.4</v>
      </c>
      <c r="H35">
        <v>30</v>
      </c>
      <c r="I35">
        <v>24.3</v>
      </c>
      <c r="J35">
        <v>37.799999999999997</v>
      </c>
      <c r="K35">
        <f t="shared" si="0"/>
        <v>33.200000000000003</v>
      </c>
      <c r="L35" t="str">
        <f t="shared" si="1"/>
        <v>NS1</v>
      </c>
    </row>
    <row r="36" spans="1:12" x14ac:dyDescent="0.35">
      <c r="A36" t="s">
        <v>175</v>
      </c>
      <c r="B36" t="s">
        <v>47</v>
      </c>
      <c r="C36" t="s">
        <v>201</v>
      </c>
      <c r="D36">
        <v>375</v>
      </c>
      <c r="E36">
        <v>0.73799999999999999</v>
      </c>
      <c r="F36">
        <v>34.4</v>
      </c>
      <c r="G36">
        <v>30.4</v>
      </c>
      <c r="H36">
        <v>30.4</v>
      </c>
      <c r="I36">
        <v>42.4</v>
      </c>
      <c r="J36">
        <v>41.1</v>
      </c>
      <c r="K36">
        <f t="shared" si="0"/>
        <v>30.4</v>
      </c>
      <c r="L36" t="str">
        <f t="shared" si="1"/>
        <v>NS2</v>
      </c>
    </row>
    <row r="37" spans="1:12" x14ac:dyDescent="0.35">
      <c r="A37" t="s">
        <v>175</v>
      </c>
      <c r="B37" t="s">
        <v>47</v>
      </c>
      <c r="C37" t="s">
        <v>202</v>
      </c>
      <c r="D37">
        <v>1176</v>
      </c>
      <c r="E37">
        <v>0.68</v>
      </c>
      <c r="F37">
        <v>37.299999999999997</v>
      </c>
      <c r="G37">
        <v>48.7</v>
      </c>
      <c r="H37">
        <v>33.4</v>
      </c>
      <c r="I37">
        <v>29.8</v>
      </c>
      <c r="J37">
        <v>44.7</v>
      </c>
      <c r="K37">
        <f t="shared" si="0"/>
        <v>41.05</v>
      </c>
      <c r="L37" t="str">
        <f t="shared" si="1"/>
        <v>N</v>
      </c>
    </row>
    <row r="38" spans="1:12" x14ac:dyDescent="0.35">
      <c r="A38" t="s">
        <v>175</v>
      </c>
      <c r="B38" t="s">
        <v>47</v>
      </c>
      <c r="C38" t="s">
        <v>15</v>
      </c>
      <c r="D38">
        <v>726</v>
      </c>
      <c r="E38">
        <v>0.73399999999999999</v>
      </c>
      <c r="F38">
        <v>37.9</v>
      </c>
      <c r="G38">
        <v>44.2</v>
      </c>
      <c r="H38">
        <v>36.4</v>
      </c>
      <c r="I38">
        <v>33.1</v>
      </c>
      <c r="J38">
        <v>46.1</v>
      </c>
      <c r="K38">
        <f t="shared" si="0"/>
        <v>40.299999999999997</v>
      </c>
      <c r="L38" t="str">
        <f t="shared" si="1"/>
        <v>P</v>
      </c>
    </row>
    <row r="39" spans="1:12" x14ac:dyDescent="0.35">
      <c r="A39" t="s">
        <v>175</v>
      </c>
      <c r="B39" t="s">
        <v>47</v>
      </c>
      <c r="C39" t="s">
        <v>203</v>
      </c>
      <c r="D39">
        <v>771</v>
      </c>
      <c r="E39">
        <v>0.70099999999999996</v>
      </c>
      <c r="F39">
        <v>37.200000000000003</v>
      </c>
      <c r="G39">
        <v>41.2</v>
      </c>
      <c r="H39">
        <v>37</v>
      </c>
      <c r="I39">
        <v>33.5</v>
      </c>
      <c r="J39">
        <v>49.4</v>
      </c>
      <c r="K39">
        <f t="shared" si="0"/>
        <v>39.1</v>
      </c>
      <c r="L39" t="str">
        <f t="shared" si="1"/>
        <v>M</v>
      </c>
    </row>
    <row r="40" spans="1:12" x14ac:dyDescent="0.35">
      <c r="A40" t="s">
        <v>175</v>
      </c>
      <c r="B40" t="s">
        <v>47</v>
      </c>
      <c r="C40" t="s">
        <v>204</v>
      </c>
      <c r="D40">
        <v>198</v>
      </c>
      <c r="E40">
        <v>0.65</v>
      </c>
      <c r="F40">
        <v>29.8</v>
      </c>
      <c r="G40">
        <v>28.8</v>
      </c>
      <c r="H40">
        <v>27.3</v>
      </c>
      <c r="I40">
        <v>33.299999999999997</v>
      </c>
      <c r="J40">
        <v>33.9</v>
      </c>
      <c r="K40">
        <f t="shared" si="0"/>
        <v>28.05</v>
      </c>
      <c r="L40" t="str">
        <f t="shared" si="1"/>
        <v>SH</v>
      </c>
    </row>
    <row r="41" spans="1:12" x14ac:dyDescent="0.35">
      <c r="A41" t="s">
        <v>175</v>
      </c>
      <c r="B41" t="s">
        <v>47</v>
      </c>
      <c r="C41" t="s">
        <v>205</v>
      </c>
      <c r="D41">
        <v>933</v>
      </c>
      <c r="E41">
        <v>0.74299999999999999</v>
      </c>
      <c r="F41">
        <v>40.6</v>
      </c>
      <c r="G41">
        <v>35.4</v>
      </c>
      <c r="H41">
        <v>49.2</v>
      </c>
      <c r="I41">
        <v>37.299999999999997</v>
      </c>
      <c r="J41">
        <v>44.8</v>
      </c>
      <c r="K41">
        <f t="shared" si="0"/>
        <v>42.3</v>
      </c>
      <c r="L41" t="str">
        <f t="shared" si="1"/>
        <v>G</v>
      </c>
    </row>
    <row r="42" spans="1:12" x14ac:dyDescent="0.35">
      <c r="A42" t="s">
        <v>175</v>
      </c>
      <c r="B42" t="s">
        <v>47</v>
      </c>
      <c r="C42" t="s">
        <v>206</v>
      </c>
      <c r="D42">
        <v>1725</v>
      </c>
      <c r="E42">
        <v>0.69599999999999995</v>
      </c>
      <c r="F42">
        <v>34.700000000000003</v>
      </c>
      <c r="G42">
        <v>36.299999999999997</v>
      </c>
      <c r="H42">
        <v>36.9</v>
      </c>
      <c r="I42">
        <v>31</v>
      </c>
      <c r="J42">
        <v>47.1</v>
      </c>
      <c r="K42">
        <f t="shared" si="0"/>
        <v>36.599999999999994</v>
      </c>
      <c r="L42" t="str">
        <f t="shared" si="1"/>
        <v>F</v>
      </c>
    </row>
    <row r="43" spans="1:12" x14ac:dyDescent="0.35">
      <c r="A43" t="s">
        <v>175</v>
      </c>
      <c r="B43" t="s">
        <v>47</v>
      </c>
      <c r="C43" t="s">
        <v>207</v>
      </c>
      <c r="D43">
        <v>588</v>
      </c>
      <c r="E43">
        <v>0.73399999999999999</v>
      </c>
      <c r="F43">
        <v>36.200000000000003</v>
      </c>
      <c r="G43">
        <v>38.299999999999997</v>
      </c>
      <c r="H43">
        <v>34.200000000000003</v>
      </c>
      <c r="I43">
        <v>36.200000000000003</v>
      </c>
      <c r="J43">
        <v>44.8</v>
      </c>
      <c r="K43">
        <f t="shared" si="0"/>
        <v>36.25</v>
      </c>
      <c r="L43" t="str">
        <f t="shared" si="1"/>
        <v>M2-1</v>
      </c>
    </row>
    <row r="44" spans="1:12" x14ac:dyDescent="0.35">
      <c r="A44" t="s">
        <v>175</v>
      </c>
      <c r="B44" t="s">
        <v>47</v>
      </c>
      <c r="C44" t="s">
        <v>208</v>
      </c>
      <c r="D44">
        <v>273</v>
      </c>
      <c r="E44">
        <v>0.69</v>
      </c>
      <c r="F44">
        <v>29.7</v>
      </c>
      <c r="G44">
        <v>35.200000000000003</v>
      </c>
      <c r="H44">
        <v>25.3</v>
      </c>
      <c r="I44">
        <v>28.6</v>
      </c>
      <c r="J44">
        <v>59.3</v>
      </c>
      <c r="K44">
        <f t="shared" si="0"/>
        <v>30.25</v>
      </c>
      <c r="L44" t="str">
        <f t="shared" si="1"/>
        <v>M2-2</v>
      </c>
    </row>
    <row r="45" spans="1:12" x14ac:dyDescent="0.35">
      <c r="A45" t="s">
        <v>175</v>
      </c>
      <c r="B45" t="s">
        <v>47</v>
      </c>
      <c r="C45" t="s">
        <v>209</v>
      </c>
      <c r="D45">
        <v>6501</v>
      </c>
      <c r="E45">
        <v>0.69499999999999995</v>
      </c>
      <c r="F45">
        <v>31.2</v>
      </c>
      <c r="G45">
        <v>36.5</v>
      </c>
      <c r="H45">
        <v>31.5</v>
      </c>
      <c r="I45">
        <v>25.7</v>
      </c>
      <c r="J45">
        <v>42.9</v>
      </c>
      <c r="K45">
        <f t="shared" si="0"/>
        <v>34</v>
      </c>
      <c r="L45" t="str">
        <f t="shared" si="1"/>
        <v>L</v>
      </c>
    </row>
    <row r="46" spans="1:12" x14ac:dyDescent="0.35">
      <c r="A46" t="s">
        <v>175</v>
      </c>
      <c r="B46" t="s">
        <v>55</v>
      </c>
      <c r="C46" t="s">
        <v>210</v>
      </c>
      <c r="D46">
        <v>420</v>
      </c>
      <c r="E46">
        <v>0.68400000000000005</v>
      </c>
      <c r="F46">
        <v>30.5</v>
      </c>
      <c r="G46">
        <v>35.700000000000003</v>
      </c>
      <c r="H46">
        <v>30</v>
      </c>
      <c r="I46">
        <v>25.7</v>
      </c>
      <c r="J46">
        <v>38.4</v>
      </c>
      <c r="K46">
        <f t="shared" si="0"/>
        <v>32.85</v>
      </c>
      <c r="L46" t="str">
        <f t="shared" si="1"/>
        <v>NS1</v>
      </c>
    </row>
    <row r="47" spans="1:12" x14ac:dyDescent="0.35">
      <c r="A47" t="s">
        <v>175</v>
      </c>
      <c r="B47" t="s">
        <v>55</v>
      </c>
      <c r="C47" t="s">
        <v>211</v>
      </c>
      <c r="D47">
        <v>375</v>
      </c>
      <c r="E47">
        <v>0.73699999999999999</v>
      </c>
      <c r="F47">
        <v>34.700000000000003</v>
      </c>
      <c r="G47">
        <v>31.2</v>
      </c>
      <c r="H47">
        <v>31.2</v>
      </c>
      <c r="I47">
        <v>41.6</v>
      </c>
      <c r="J47">
        <v>41.1</v>
      </c>
      <c r="K47">
        <f t="shared" si="0"/>
        <v>31.2</v>
      </c>
      <c r="L47" t="str">
        <f t="shared" si="1"/>
        <v>NS2</v>
      </c>
    </row>
    <row r="48" spans="1:12" x14ac:dyDescent="0.35">
      <c r="A48" t="s">
        <v>175</v>
      </c>
      <c r="B48" t="s">
        <v>55</v>
      </c>
      <c r="C48" t="s">
        <v>212</v>
      </c>
      <c r="D48">
        <v>1176</v>
      </c>
      <c r="E48">
        <v>0.67500000000000004</v>
      </c>
      <c r="F48">
        <v>37</v>
      </c>
      <c r="G48">
        <v>48.7</v>
      </c>
      <c r="H48">
        <v>33.4</v>
      </c>
      <c r="I48">
        <v>28.8</v>
      </c>
      <c r="J48">
        <v>44.4</v>
      </c>
      <c r="K48">
        <f t="shared" si="0"/>
        <v>41.05</v>
      </c>
      <c r="L48" t="str">
        <f t="shared" si="1"/>
        <v>N</v>
      </c>
    </row>
    <row r="49" spans="1:12" x14ac:dyDescent="0.35">
      <c r="A49" t="s">
        <v>175</v>
      </c>
      <c r="B49" t="s">
        <v>55</v>
      </c>
      <c r="C49" t="s">
        <v>213</v>
      </c>
      <c r="D49">
        <v>726</v>
      </c>
      <c r="E49">
        <v>0.74</v>
      </c>
      <c r="F49">
        <v>37.9</v>
      </c>
      <c r="G49">
        <v>43.8</v>
      </c>
      <c r="H49">
        <v>36.4</v>
      </c>
      <c r="I49">
        <v>33.5</v>
      </c>
      <c r="J49">
        <v>46.3</v>
      </c>
      <c r="K49">
        <f t="shared" si="0"/>
        <v>40.099999999999994</v>
      </c>
      <c r="L49" t="str">
        <f t="shared" si="1"/>
        <v>P</v>
      </c>
    </row>
    <row r="50" spans="1:12" x14ac:dyDescent="0.35">
      <c r="A50" t="s">
        <v>175</v>
      </c>
      <c r="B50" t="s">
        <v>55</v>
      </c>
      <c r="C50" t="s">
        <v>214</v>
      </c>
      <c r="D50">
        <v>771</v>
      </c>
      <c r="E50">
        <v>0.70199999999999996</v>
      </c>
      <c r="F50">
        <v>37.1</v>
      </c>
      <c r="G50">
        <v>41.2</v>
      </c>
      <c r="H50">
        <v>37</v>
      </c>
      <c r="I50">
        <v>33.1</v>
      </c>
      <c r="J50">
        <v>49.4</v>
      </c>
      <c r="K50">
        <f t="shared" si="0"/>
        <v>39.1</v>
      </c>
      <c r="L50" t="str">
        <f t="shared" si="1"/>
        <v>M</v>
      </c>
    </row>
    <row r="51" spans="1:12" x14ac:dyDescent="0.35">
      <c r="A51" t="s">
        <v>175</v>
      </c>
      <c r="B51" t="s">
        <v>55</v>
      </c>
      <c r="C51" t="s">
        <v>215</v>
      </c>
      <c r="D51">
        <v>198</v>
      </c>
      <c r="E51">
        <v>0.65</v>
      </c>
      <c r="F51">
        <v>29.8</v>
      </c>
      <c r="G51">
        <v>28.8</v>
      </c>
      <c r="H51">
        <v>27.3</v>
      </c>
      <c r="I51">
        <v>33.299999999999997</v>
      </c>
      <c r="J51">
        <v>33.9</v>
      </c>
      <c r="K51">
        <f t="shared" si="0"/>
        <v>28.05</v>
      </c>
      <c r="L51" t="str">
        <f t="shared" si="1"/>
        <v>SH</v>
      </c>
    </row>
    <row r="52" spans="1:12" x14ac:dyDescent="0.35">
      <c r="A52" t="s">
        <v>175</v>
      </c>
      <c r="B52" t="s">
        <v>55</v>
      </c>
      <c r="C52" t="s">
        <v>216</v>
      </c>
      <c r="D52">
        <v>933</v>
      </c>
      <c r="E52">
        <v>0.746</v>
      </c>
      <c r="F52">
        <v>40.6</v>
      </c>
      <c r="G52">
        <v>36</v>
      </c>
      <c r="H52">
        <v>48.9</v>
      </c>
      <c r="I52">
        <v>37</v>
      </c>
      <c r="J52">
        <v>45</v>
      </c>
      <c r="K52">
        <f t="shared" si="0"/>
        <v>42.45</v>
      </c>
      <c r="L52" t="str">
        <f t="shared" si="1"/>
        <v>G</v>
      </c>
    </row>
    <row r="53" spans="1:12" x14ac:dyDescent="0.35">
      <c r="A53" t="s">
        <v>175</v>
      </c>
      <c r="B53" t="s">
        <v>55</v>
      </c>
      <c r="C53" t="s">
        <v>217</v>
      </c>
      <c r="D53">
        <v>1725</v>
      </c>
      <c r="E53">
        <v>0.69699999999999995</v>
      </c>
      <c r="F53">
        <v>34.799999999999997</v>
      </c>
      <c r="G53">
        <v>36.5</v>
      </c>
      <c r="H53">
        <v>36.299999999999997</v>
      </c>
      <c r="I53">
        <v>31.5</v>
      </c>
      <c r="J53">
        <v>48.9</v>
      </c>
      <c r="K53">
        <f t="shared" si="0"/>
        <v>36.4</v>
      </c>
      <c r="L53" t="str">
        <f t="shared" si="1"/>
        <v>F</v>
      </c>
    </row>
    <row r="54" spans="1:12" x14ac:dyDescent="0.35">
      <c r="A54" t="s">
        <v>175</v>
      </c>
      <c r="B54" t="s">
        <v>55</v>
      </c>
      <c r="C54" t="s">
        <v>218</v>
      </c>
      <c r="D54">
        <v>588</v>
      </c>
      <c r="E54">
        <v>0.73299999999999998</v>
      </c>
      <c r="F54">
        <v>36.6</v>
      </c>
      <c r="G54">
        <v>38.799999999999997</v>
      </c>
      <c r="H54">
        <v>34.200000000000003</v>
      </c>
      <c r="I54">
        <v>36.700000000000003</v>
      </c>
      <c r="J54">
        <v>45.5</v>
      </c>
      <c r="K54">
        <f t="shared" si="0"/>
        <v>36.5</v>
      </c>
      <c r="L54" t="str">
        <f t="shared" si="1"/>
        <v>M2-1</v>
      </c>
    </row>
    <row r="55" spans="1:12" x14ac:dyDescent="0.35">
      <c r="A55" t="s">
        <v>175</v>
      </c>
      <c r="B55" t="s">
        <v>55</v>
      </c>
      <c r="C55" t="s">
        <v>219</v>
      </c>
      <c r="D55">
        <v>273</v>
      </c>
      <c r="E55">
        <v>0.68700000000000006</v>
      </c>
      <c r="F55">
        <v>28.2</v>
      </c>
      <c r="G55">
        <v>34.1</v>
      </c>
      <c r="H55">
        <v>24.2</v>
      </c>
      <c r="I55">
        <v>26.4</v>
      </c>
      <c r="J55">
        <v>44.2</v>
      </c>
      <c r="K55">
        <f t="shared" si="0"/>
        <v>29.15</v>
      </c>
      <c r="L55" t="str">
        <f t="shared" si="1"/>
        <v>M2-2</v>
      </c>
    </row>
    <row r="56" spans="1:12" x14ac:dyDescent="0.35">
      <c r="A56" t="s">
        <v>175</v>
      </c>
      <c r="B56" t="s">
        <v>55</v>
      </c>
      <c r="C56" t="s">
        <v>220</v>
      </c>
      <c r="D56">
        <v>6498</v>
      </c>
      <c r="E56">
        <v>0.69499999999999995</v>
      </c>
      <c r="F56">
        <v>31.2</v>
      </c>
      <c r="G56">
        <v>36.5</v>
      </c>
      <c r="H56">
        <v>31.5</v>
      </c>
      <c r="I56">
        <v>25.7</v>
      </c>
      <c r="J56">
        <v>42.9</v>
      </c>
      <c r="K56">
        <f t="shared" si="0"/>
        <v>34</v>
      </c>
      <c r="L56" t="str">
        <f t="shared" si="1"/>
        <v>L</v>
      </c>
    </row>
    <row r="57" spans="1:12" x14ac:dyDescent="0.35">
      <c r="A57" t="s">
        <v>175</v>
      </c>
      <c r="B57" t="s">
        <v>65</v>
      </c>
      <c r="C57" t="s">
        <v>221</v>
      </c>
      <c r="D57">
        <v>420</v>
      </c>
      <c r="E57">
        <v>0.68300000000000005</v>
      </c>
      <c r="F57">
        <v>30.5</v>
      </c>
      <c r="G57">
        <v>36.4</v>
      </c>
      <c r="H57">
        <v>30</v>
      </c>
      <c r="I57">
        <v>25</v>
      </c>
      <c r="J57">
        <v>38.200000000000003</v>
      </c>
      <c r="K57">
        <f t="shared" si="0"/>
        <v>33.200000000000003</v>
      </c>
      <c r="L57" t="str">
        <f t="shared" si="1"/>
        <v>NS1</v>
      </c>
    </row>
    <row r="58" spans="1:12" x14ac:dyDescent="0.35">
      <c r="A58" t="s">
        <v>175</v>
      </c>
      <c r="B58" t="s">
        <v>65</v>
      </c>
      <c r="C58" t="s">
        <v>222</v>
      </c>
      <c r="D58">
        <v>375</v>
      </c>
      <c r="E58">
        <v>0.73699999999999999</v>
      </c>
      <c r="F58">
        <v>34.700000000000003</v>
      </c>
      <c r="G58">
        <v>31.2</v>
      </c>
      <c r="H58">
        <v>31.2</v>
      </c>
      <c r="I58">
        <v>41.6</v>
      </c>
      <c r="J58">
        <v>41.1</v>
      </c>
      <c r="K58">
        <f t="shared" si="0"/>
        <v>31.2</v>
      </c>
      <c r="L58" t="str">
        <f t="shared" si="1"/>
        <v>NS2</v>
      </c>
    </row>
    <row r="59" spans="1:12" x14ac:dyDescent="0.35">
      <c r="A59" t="s">
        <v>175</v>
      </c>
      <c r="B59" t="s">
        <v>65</v>
      </c>
      <c r="C59" t="s">
        <v>223</v>
      </c>
      <c r="D59">
        <v>1176</v>
      </c>
      <c r="E59">
        <v>0.67600000000000005</v>
      </c>
      <c r="F59">
        <v>37</v>
      </c>
      <c r="G59">
        <v>48.7</v>
      </c>
      <c r="H59">
        <v>33.4</v>
      </c>
      <c r="I59">
        <v>28.8</v>
      </c>
      <c r="J59">
        <v>44.6</v>
      </c>
      <c r="K59">
        <f t="shared" si="0"/>
        <v>41.05</v>
      </c>
      <c r="L59" t="str">
        <f t="shared" si="1"/>
        <v>N</v>
      </c>
    </row>
    <row r="60" spans="1:12" x14ac:dyDescent="0.35">
      <c r="A60" t="s">
        <v>175</v>
      </c>
      <c r="B60" t="s">
        <v>65</v>
      </c>
      <c r="C60" t="s">
        <v>224</v>
      </c>
      <c r="D60">
        <v>726</v>
      </c>
      <c r="E60">
        <v>0.73799999999999999</v>
      </c>
      <c r="F60">
        <v>37.5</v>
      </c>
      <c r="G60">
        <v>43.8</v>
      </c>
      <c r="H60">
        <v>36.4</v>
      </c>
      <c r="I60">
        <v>32.200000000000003</v>
      </c>
      <c r="J60">
        <v>45.9</v>
      </c>
      <c r="K60">
        <f t="shared" si="0"/>
        <v>40.099999999999994</v>
      </c>
      <c r="L60" t="str">
        <f t="shared" si="1"/>
        <v>P</v>
      </c>
    </row>
    <row r="61" spans="1:12" x14ac:dyDescent="0.35">
      <c r="A61" t="s">
        <v>175</v>
      </c>
      <c r="B61" t="s">
        <v>65</v>
      </c>
      <c r="C61" t="s">
        <v>225</v>
      </c>
      <c r="D61">
        <v>771</v>
      </c>
      <c r="E61">
        <v>0.70499999999999996</v>
      </c>
      <c r="F61">
        <v>37.200000000000003</v>
      </c>
      <c r="G61">
        <v>41.2</v>
      </c>
      <c r="H61">
        <v>37</v>
      </c>
      <c r="I61">
        <v>33.5</v>
      </c>
      <c r="J61">
        <v>49.4</v>
      </c>
      <c r="K61">
        <f t="shared" si="0"/>
        <v>39.1</v>
      </c>
      <c r="L61" t="str">
        <f t="shared" si="1"/>
        <v>M</v>
      </c>
    </row>
    <row r="62" spans="1:12" x14ac:dyDescent="0.35">
      <c r="A62" t="s">
        <v>175</v>
      </c>
      <c r="B62" t="s">
        <v>65</v>
      </c>
      <c r="C62" t="s">
        <v>226</v>
      </c>
      <c r="D62">
        <v>198</v>
      </c>
      <c r="E62">
        <v>0.65300000000000002</v>
      </c>
      <c r="F62">
        <v>30.3</v>
      </c>
      <c r="G62">
        <v>28.8</v>
      </c>
      <c r="H62">
        <v>27.3</v>
      </c>
      <c r="I62">
        <v>34.799999999999997</v>
      </c>
      <c r="J62">
        <v>34.200000000000003</v>
      </c>
      <c r="K62">
        <f t="shared" si="0"/>
        <v>28.05</v>
      </c>
      <c r="L62" t="str">
        <f t="shared" si="1"/>
        <v>SH</v>
      </c>
    </row>
    <row r="63" spans="1:12" x14ac:dyDescent="0.35">
      <c r="A63" t="s">
        <v>175</v>
      </c>
      <c r="B63" t="s">
        <v>65</v>
      </c>
      <c r="C63" t="s">
        <v>227</v>
      </c>
      <c r="D63">
        <v>954</v>
      </c>
      <c r="E63">
        <v>0.746</v>
      </c>
      <c r="F63">
        <v>40.700000000000003</v>
      </c>
      <c r="G63">
        <v>36.799999999999997</v>
      </c>
      <c r="H63">
        <v>48.1</v>
      </c>
      <c r="I63">
        <v>37.1</v>
      </c>
      <c r="J63">
        <v>47.2</v>
      </c>
      <c r="K63">
        <f t="shared" si="0"/>
        <v>42.45</v>
      </c>
      <c r="L63" t="str">
        <f t="shared" si="1"/>
        <v>G</v>
      </c>
    </row>
    <row r="64" spans="1:12" x14ac:dyDescent="0.35">
      <c r="A64" t="s">
        <v>175</v>
      </c>
      <c r="B64" t="s">
        <v>65</v>
      </c>
      <c r="C64" t="s">
        <v>228</v>
      </c>
      <c r="D64">
        <v>1725</v>
      </c>
      <c r="E64">
        <v>0.69599999999999995</v>
      </c>
      <c r="F64">
        <v>34.6</v>
      </c>
      <c r="G64">
        <v>36.5</v>
      </c>
      <c r="H64">
        <v>36.299999999999997</v>
      </c>
      <c r="I64">
        <v>30.8</v>
      </c>
      <c r="J64">
        <v>48.5</v>
      </c>
      <c r="K64">
        <f t="shared" si="0"/>
        <v>36.4</v>
      </c>
      <c r="L64" t="str">
        <f t="shared" si="1"/>
        <v>F</v>
      </c>
    </row>
    <row r="65" spans="1:12" x14ac:dyDescent="0.35">
      <c r="A65" t="s">
        <v>175</v>
      </c>
      <c r="B65" t="s">
        <v>65</v>
      </c>
      <c r="C65" t="s">
        <v>229</v>
      </c>
      <c r="D65">
        <v>588</v>
      </c>
      <c r="E65">
        <v>0.73599999999999999</v>
      </c>
      <c r="F65">
        <v>36.4</v>
      </c>
      <c r="G65">
        <v>38.299999999999997</v>
      </c>
      <c r="H65">
        <v>34.200000000000003</v>
      </c>
      <c r="I65">
        <v>36.700000000000003</v>
      </c>
      <c r="J65">
        <v>44.8</v>
      </c>
      <c r="K65">
        <f t="shared" si="0"/>
        <v>36.25</v>
      </c>
      <c r="L65" t="str">
        <f t="shared" si="1"/>
        <v>M2-1</v>
      </c>
    </row>
    <row r="66" spans="1:12" x14ac:dyDescent="0.35">
      <c r="A66" t="s">
        <v>175</v>
      </c>
      <c r="B66" t="s">
        <v>65</v>
      </c>
      <c r="C66" t="s">
        <v>230</v>
      </c>
      <c r="D66">
        <v>273</v>
      </c>
      <c r="E66">
        <v>0.68700000000000006</v>
      </c>
      <c r="F66">
        <v>28.2</v>
      </c>
      <c r="G66">
        <v>34.1</v>
      </c>
      <c r="H66">
        <v>24.2</v>
      </c>
      <c r="I66">
        <v>26.4</v>
      </c>
      <c r="J66">
        <v>44.2</v>
      </c>
      <c r="K66">
        <f t="shared" ref="K66:K129" si="2">(G66+H66)/2</f>
        <v>29.15</v>
      </c>
      <c r="L66" t="str">
        <f t="shared" ref="L66:L129" si="3">IF(ISNUMBER(SEARCH("M2-1",C66)),"M2-1",IF(ISNUMBER(SEARCH("M2-2",C66)),"M2-2",IF(LEFT(C66,3)="NS1","NS1",IF(LEFT(C66,3)="NS2","NS2",IF(LEFT(C66,2)="N_","N",IF(LEFT(C66,2)="P_","P",IF(LEFT(C66,2)="M_","M",IF(LEFT(C66,2)="SH","SH",IF(LEFT(C66,2)="G_","G",IF(LEFT(C66,2)="F_","F",IF(LEFT(C66,2)="L_","L","UNKNOWN")))))))))))</f>
        <v>M2-2</v>
      </c>
    </row>
    <row r="67" spans="1:12" x14ac:dyDescent="0.35">
      <c r="A67" t="s">
        <v>175</v>
      </c>
      <c r="B67" t="s">
        <v>65</v>
      </c>
      <c r="C67" t="s">
        <v>231</v>
      </c>
      <c r="D67">
        <v>6501</v>
      </c>
      <c r="E67">
        <v>0.69499999999999995</v>
      </c>
      <c r="F67">
        <v>31.2</v>
      </c>
      <c r="G67">
        <v>36.4</v>
      </c>
      <c r="H67">
        <v>31.5</v>
      </c>
      <c r="I67">
        <v>25.6</v>
      </c>
      <c r="J67">
        <v>42.8</v>
      </c>
      <c r="K67">
        <f t="shared" si="2"/>
        <v>33.950000000000003</v>
      </c>
      <c r="L67" t="str">
        <f t="shared" si="3"/>
        <v>L</v>
      </c>
    </row>
    <row r="68" spans="1:12" x14ac:dyDescent="0.35">
      <c r="A68" t="s">
        <v>175</v>
      </c>
      <c r="B68" t="s">
        <v>76</v>
      </c>
      <c r="C68" t="s">
        <v>232</v>
      </c>
      <c r="D68">
        <v>420</v>
      </c>
      <c r="E68">
        <v>0.67700000000000005</v>
      </c>
      <c r="F68">
        <v>30.2</v>
      </c>
      <c r="G68">
        <v>37.1</v>
      </c>
      <c r="H68">
        <v>30</v>
      </c>
      <c r="I68">
        <v>23.6</v>
      </c>
      <c r="J68">
        <v>37.700000000000003</v>
      </c>
      <c r="K68">
        <f t="shared" si="2"/>
        <v>33.549999999999997</v>
      </c>
      <c r="L68" t="str">
        <f t="shared" si="3"/>
        <v>NS1</v>
      </c>
    </row>
    <row r="69" spans="1:12" x14ac:dyDescent="0.35">
      <c r="A69" t="s">
        <v>175</v>
      </c>
      <c r="B69" t="s">
        <v>76</v>
      </c>
      <c r="C69" t="s">
        <v>233</v>
      </c>
      <c r="D69">
        <v>375</v>
      </c>
      <c r="E69">
        <v>0.73899999999999999</v>
      </c>
      <c r="F69">
        <v>34.9</v>
      </c>
      <c r="G69">
        <v>31.2</v>
      </c>
      <c r="H69">
        <v>31.2</v>
      </c>
      <c r="I69">
        <v>42.4</v>
      </c>
      <c r="J69">
        <v>41.1</v>
      </c>
      <c r="K69">
        <f t="shared" si="2"/>
        <v>31.2</v>
      </c>
      <c r="L69" t="str">
        <f t="shared" si="3"/>
        <v>NS2</v>
      </c>
    </row>
    <row r="70" spans="1:12" x14ac:dyDescent="0.35">
      <c r="A70" t="s">
        <v>175</v>
      </c>
      <c r="B70" t="s">
        <v>76</v>
      </c>
      <c r="C70" t="s">
        <v>234</v>
      </c>
      <c r="D70">
        <v>1176</v>
      </c>
      <c r="E70">
        <v>0.67900000000000005</v>
      </c>
      <c r="F70">
        <v>37.200000000000003</v>
      </c>
      <c r="G70">
        <v>48.7</v>
      </c>
      <c r="H70">
        <v>33.4</v>
      </c>
      <c r="I70">
        <v>29.6</v>
      </c>
      <c r="J70">
        <v>44.6</v>
      </c>
      <c r="K70">
        <f t="shared" si="2"/>
        <v>41.05</v>
      </c>
      <c r="L70" t="str">
        <f t="shared" si="3"/>
        <v>N</v>
      </c>
    </row>
    <row r="71" spans="1:12" x14ac:dyDescent="0.35">
      <c r="A71" t="s">
        <v>175</v>
      </c>
      <c r="B71" t="s">
        <v>76</v>
      </c>
      <c r="C71" t="s">
        <v>235</v>
      </c>
      <c r="D71">
        <v>726</v>
      </c>
      <c r="E71">
        <v>0.73299999999999998</v>
      </c>
      <c r="F71">
        <v>37.5</v>
      </c>
      <c r="G71">
        <v>44.2</v>
      </c>
      <c r="H71">
        <v>36.4</v>
      </c>
      <c r="I71">
        <v>31.8</v>
      </c>
      <c r="J71">
        <v>45.2</v>
      </c>
      <c r="K71">
        <f t="shared" si="2"/>
        <v>40.299999999999997</v>
      </c>
      <c r="L71" t="str">
        <f t="shared" si="3"/>
        <v>P</v>
      </c>
    </row>
    <row r="72" spans="1:12" x14ac:dyDescent="0.35">
      <c r="A72" t="s">
        <v>175</v>
      </c>
      <c r="B72" t="s">
        <v>76</v>
      </c>
      <c r="C72" t="s">
        <v>236</v>
      </c>
      <c r="D72">
        <v>771</v>
      </c>
      <c r="E72">
        <v>0.69599999999999995</v>
      </c>
      <c r="F72">
        <v>37.200000000000003</v>
      </c>
      <c r="G72">
        <v>41.6</v>
      </c>
      <c r="H72">
        <v>37</v>
      </c>
      <c r="I72">
        <v>33.1</v>
      </c>
      <c r="J72">
        <v>49.3</v>
      </c>
      <c r="K72">
        <f t="shared" si="2"/>
        <v>39.299999999999997</v>
      </c>
      <c r="L72" t="str">
        <f t="shared" si="3"/>
        <v>M</v>
      </c>
    </row>
    <row r="73" spans="1:12" x14ac:dyDescent="0.35">
      <c r="A73" t="s">
        <v>175</v>
      </c>
      <c r="B73" t="s">
        <v>76</v>
      </c>
      <c r="C73" t="s">
        <v>237</v>
      </c>
      <c r="D73">
        <v>198</v>
      </c>
      <c r="E73">
        <v>0.63800000000000001</v>
      </c>
      <c r="F73">
        <v>30.3</v>
      </c>
      <c r="G73">
        <v>28.8</v>
      </c>
      <c r="H73">
        <v>27.3</v>
      </c>
      <c r="I73">
        <v>34.799999999999997</v>
      </c>
      <c r="J73">
        <v>30</v>
      </c>
      <c r="K73">
        <f t="shared" si="2"/>
        <v>28.05</v>
      </c>
      <c r="L73" t="str">
        <f t="shared" si="3"/>
        <v>SH</v>
      </c>
    </row>
    <row r="74" spans="1:12" x14ac:dyDescent="0.35">
      <c r="A74" t="s">
        <v>175</v>
      </c>
      <c r="B74" t="s">
        <v>76</v>
      </c>
      <c r="C74" t="s">
        <v>238</v>
      </c>
      <c r="D74">
        <v>933</v>
      </c>
      <c r="E74">
        <v>0.74</v>
      </c>
      <c r="F74">
        <v>40.799999999999997</v>
      </c>
      <c r="G74">
        <v>35</v>
      </c>
      <c r="H74">
        <v>49.5</v>
      </c>
      <c r="I74">
        <v>37.9</v>
      </c>
      <c r="J74">
        <v>47.6</v>
      </c>
      <c r="K74">
        <f t="shared" si="2"/>
        <v>42.25</v>
      </c>
      <c r="L74" t="str">
        <f t="shared" si="3"/>
        <v>G</v>
      </c>
    </row>
    <row r="75" spans="1:12" x14ac:dyDescent="0.35">
      <c r="A75" t="s">
        <v>175</v>
      </c>
      <c r="B75" t="s">
        <v>76</v>
      </c>
      <c r="C75" t="s">
        <v>239</v>
      </c>
      <c r="D75">
        <v>1725</v>
      </c>
      <c r="E75">
        <v>0.69299999999999995</v>
      </c>
      <c r="F75">
        <v>34.5</v>
      </c>
      <c r="G75">
        <v>36.299999999999997</v>
      </c>
      <c r="H75">
        <v>36.5</v>
      </c>
      <c r="I75">
        <v>30.6</v>
      </c>
      <c r="J75">
        <v>47.3</v>
      </c>
      <c r="K75">
        <f t="shared" si="2"/>
        <v>36.4</v>
      </c>
      <c r="L75" t="str">
        <f t="shared" si="3"/>
        <v>F</v>
      </c>
    </row>
    <row r="76" spans="1:12" x14ac:dyDescent="0.35">
      <c r="A76" t="s">
        <v>175</v>
      </c>
      <c r="B76" t="s">
        <v>76</v>
      </c>
      <c r="C76" t="s">
        <v>240</v>
      </c>
      <c r="D76">
        <v>588</v>
      </c>
      <c r="E76">
        <v>0.74299999999999999</v>
      </c>
      <c r="F76">
        <v>36.6</v>
      </c>
      <c r="G76">
        <v>37.799999999999997</v>
      </c>
      <c r="H76">
        <v>34.200000000000003</v>
      </c>
      <c r="I76">
        <v>37.799999999999997</v>
      </c>
      <c r="J76">
        <v>44.4</v>
      </c>
      <c r="K76">
        <f t="shared" si="2"/>
        <v>36</v>
      </c>
      <c r="L76" t="str">
        <f t="shared" si="3"/>
        <v>M2-1</v>
      </c>
    </row>
    <row r="77" spans="1:12" x14ac:dyDescent="0.35">
      <c r="A77" t="s">
        <v>175</v>
      </c>
      <c r="B77" t="s">
        <v>76</v>
      </c>
      <c r="C77" t="s">
        <v>241</v>
      </c>
      <c r="D77">
        <v>273</v>
      </c>
      <c r="E77">
        <v>0.68500000000000005</v>
      </c>
      <c r="F77">
        <v>28.9</v>
      </c>
      <c r="G77">
        <v>36.299999999999997</v>
      </c>
      <c r="H77">
        <v>24.2</v>
      </c>
      <c r="I77">
        <v>26.4</v>
      </c>
      <c r="J77">
        <v>44.5</v>
      </c>
      <c r="K77">
        <f t="shared" si="2"/>
        <v>30.25</v>
      </c>
      <c r="L77" t="str">
        <f t="shared" si="3"/>
        <v>M2-2</v>
      </c>
    </row>
    <row r="78" spans="1:12" x14ac:dyDescent="0.35">
      <c r="A78" t="s">
        <v>175</v>
      </c>
      <c r="B78" t="s">
        <v>76</v>
      </c>
      <c r="C78" t="s">
        <v>242</v>
      </c>
      <c r="D78">
        <v>6501</v>
      </c>
      <c r="E78">
        <v>0.69499999999999995</v>
      </c>
      <c r="F78">
        <v>31.3</v>
      </c>
      <c r="G78">
        <v>36.5</v>
      </c>
      <c r="H78">
        <v>31.4</v>
      </c>
      <c r="I78">
        <v>25.9</v>
      </c>
      <c r="J78">
        <v>42.9</v>
      </c>
      <c r="K78">
        <f t="shared" si="2"/>
        <v>33.950000000000003</v>
      </c>
      <c r="L78" t="str">
        <f t="shared" si="3"/>
        <v>L</v>
      </c>
    </row>
    <row r="79" spans="1:12" x14ac:dyDescent="0.35">
      <c r="A79" t="s">
        <v>175</v>
      </c>
      <c r="B79" t="s">
        <v>85</v>
      </c>
      <c r="C79" t="s">
        <v>243</v>
      </c>
      <c r="D79">
        <v>420</v>
      </c>
      <c r="E79">
        <v>0.67900000000000005</v>
      </c>
      <c r="F79">
        <v>30.2</v>
      </c>
      <c r="G79">
        <v>36.4</v>
      </c>
      <c r="H79">
        <v>30.7</v>
      </c>
      <c r="I79">
        <v>23.6</v>
      </c>
      <c r="J79">
        <v>36.9</v>
      </c>
      <c r="K79">
        <f t="shared" si="2"/>
        <v>33.549999999999997</v>
      </c>
      <c r="L79" t="str">
        <f t="shared" si="3"/>
        <v>NS1</v>
      </c>
    </row>
    <row r="80" spans="1:12" x14ac:dyDescent="0.35">
      <c r="A80" t="s">
        <v>175</v>
      </c>
      <c r="B80" t="s">
        <v>85</v>
      </c>
      <c r="C80" t="s">
        <v>244</v>
      </c>
      <c r="D80">
        <v>375</v>
      </c>
      <c r="E80">
        <v>0.73499999999999999</v>
      </c>
      <c r="F80">
        <v>34.9</v>
      </c>
      <c r="G80">
        <v>31.2</v>
      </c>
      <c r="H80">
        <v>31.2</v>
      </c>
      <c r="I80">
        <v>42.4</v>
      </c>
      <c r="J80">
        <v>40.299999999999997</v>
      </c>
      <c r="K80">
        <f t="shared" si="2"/>
        <v>31.2</v>
      </c>
      <c r="L80" t="str">
        <f t="shared" si="3"/>
        <v>NS2</v>
      </c>
    </row>
    <row r="81" spans="1:12" x14ac:dyDescent="0.35">
      <c r="A81" t="s">
        <v>175</v>
      </c>
      <c r="B81" t="s">
        <v>85</v>
      </c>
      <c r="C81" t="s">
        <v>245</v>
      </c>
      <c r="D81">
        <v>1176</v>
      </c>
      <c r="E81">
        <v>0.67900000000000005</v>
      </c>
      <c r="F81">
        <v>37.200000000000003</v>
      </c>
      <c r="G81">
        <v>48.7</v>
      </c>
      <c r="H81">
        <v>33.4</v>
      </c>
      <c r="I81">
        <v>29.3</v>
      </c>
      <c r="J81">
        <v>44.6</v>
      </c>
      <c r="K81">
        <f t="shared" si="2"/>
        <v>41.05</v>
      </c>
      <c r="L81" t="str">
        <f t="shared" si="3"/>
        <v>N</v>
      </c>
    </row>
    <row r="82" spans="1:12" x14ac:dyDescent="0.35">
      <c r="A82" t="s">
        <v>175</v>
      </c>
      <c r="B82" t="s">
        <v>85</v>
      </c>
      <c r="C82" t="s">
        <v>246</v>
      </c>
      <c r="D82">
        <v>726</v>
      </c>
      <c r="E82">
        <v>0.73399999999999999</v>
      </c>
      <c r="F82">
        <v>37.6</v>
      </c>
      <c r="G82">
        <v>44.2</v>
      </c>
      <c r="H82">
        <v>36.4</v>
      </c>
      <c r="I82">
        <v>32.200000000000003</v>
      </c>
      <c r="J82">
        <v>46</v>
      </c>
      <c r="K82">
        <f t="shared" si="2"/>
        <v>40.299999999999997</v>
      </c>
      <c r="L82" t="str">
        <f t="shared" si="3"/>
        <v>P</v>
      </c>
    </row>
    <row r="83" spans="1:12" x14ac:dyDescent="0.35">
      <c r="A83" t="s">
        <v>175</v>
      </c>
      <c r="B83" t="s">
        <v>85</v>
      </c>
      <c r="C83" t="s">
        <v>247</v>
      </c>
      <c r="D83">
        <v>771</v>
      </c>
      <c r="E83">
        <v>0.7</v>
      </c>
      <c r="F83">
        <v>37.1</v>
      </c>
      <c r="G83">
        <v>41.2</v>
      </c>
      <c r="H83">
        <v>36.6</v>
      </c>
      <c r="I83">
        <v>33.5</v>
      </c>
      <c r="J83">
        <v>50.3</v>
      </c>
      <c r="K83">
        <f t="shared" si="2"/>
        <v>38.900000000000006</v>
      </c>
      <c r="L83" t="str">
        <f t="shared" si="3"/>
        <v>M</v>
      </c>
    </row>
    <row r="84" spans="1:12" x14ac:dyDescent="0.35">
      <c r="A84" t="s">
        <v>175</v>
      </c>
      <c r="B84" t="s">
        <v>85</v>
      </c>
      <c r="C84" t="s">
        <v>248</v>
      </c>
      <c r="D84">
        <v>198</v>
      </c>
      <c r="E84">
        <v>0.65</v>
      </c>
      <c r="F84">
        <v>29.8</v>
      </c>
      <c r="G84">
        <v>28.8</v>
      </c>
      <c r="H84">
        <v>27.3</v>
      </c>
      <c r="I84">
        <v>33.299999999999997</v>
      </c>
      <c r="J84">
        <v>33.9</v>
      </c>
      <c r="K84">
        <f t="shared" si="2"/>
        <v>28.05</v>
      </c>
      <c r="L84" t="str">
        <f t="shared" si="3"/>
        <v>SH</v>
      </c>
    </row>
    <row r="85" spans="1:12" x14ac:dyDescent="0.35">
      <c r="A85" t="s">
        <v>175</v>
      </c>
      <c r="B85" t="s">
        <v>85</v>
      </c>
      <c r="C85" t="s">
        <v>249</v>
      </c>
      <c r="D85">
        <v>933</v>
      </c>
      <c r="E85">
        <v>0.74199999999999999</v>
      </c>
      <c r="F85">
        <v>39.9</v>
      </c>
      <c r="G85">
        <v>34.4</v>
      </c>
      <c r="H85">
        <v>48.2</v>
      </c>
      <c r="I85">
        <v>37</v>
      </c>
      <c r="J85">
        <v>44.6</v>
      </c>
      <c r="K85">
        <f t="shared" si="2"/>
        <v>41.3</v>
      </c>
      <c r="L85" t="str">
        <f t="shared" si="3"/>
        <v>G</v>
      </c>
    </row>
    <row r="86" spans="1:12" x14ac:dyDescent="0.35">
      <c r="A86" t="s">
        <v>175</v>
      </c>
      <c r="B86" t="s">
        <v>85</v>
      </c>
      <c r="C86" t="s">
        <v>250</v>
      </c>
      <c r="D86">
        <v>1725</v>
      </c>
      <c r="E86">
        <v>0.69399999999999995</v>
      </c>
      <c r="F86">
        <v>34.4</v>
      </c>
      <c r="G86">
        <v>36.299999999999997</v>
      </c>
      <c r="H86">
        <v>36.700000000000003</v>
      </c>
      <c r="I86">
        <v>30.1</v>
      </c>
      <c r="J86">
        <v>47.1</v>
      </c>
      <c r="K86">
        <f t="shared" si="2"/>
        <v>36.5</v>
      </c>
      <c r="L86" t="str">
        <f t="shared" si="3"/>
        <v>F</v>
      </c>
    </row>
    <row r="87" spans="1:12" x14ac:dyDescent="0.35">
      <c r="A87" t="s">
        <v>175</v>
      </c>
      <c r="B87" t="s">
        <v>85</v>
      </c>
      <c r="C87" t="s">
        <v>251</v>
      </c>
      <c r="D87">
        <v>588</v>
      </c>
      <c r="E87">
        <v>0.73399999999999999</v>
      </c>
      <c r="F87">
        <v>36.200000000000003</v>
      </c>
      <c r="G87">
        <v>38.299999999999997</v>
      </c>
      <c r="H87">
        <v>34.200000000000003</v>
      </c>
      <c r="I87">
        <v>36.200000000000003</v>
      </c>
      <c r="J87">
        <v>44.8</v>
      </c>
      <c r="K87">
        <f t="shared" si="2"/>
        <v>36.25</v>
      </c>
      <c r="L87" t="str">
        <f t="shared" si="3"/>
        <v>M2-1</v>
      </c>
    </row>
    <row r="88" spans="1:12" x14ac:dyDescent="0.35">
      <c r="A88" t="s">
        <v>175</v>
      </c>
      <c r="B88" t="s">
        <v>85</v>
      </c>
      <c r="C88" t="s">
        <v>252</v>
      </c>
      <c r="D88">
        <v>273</v>
      </c>
      <c r="E88">
        <v>0.69299999999999995</v>
      </c>
      <c r="F88">
        <v>28.6</v>
      </c>
      <c r="G88">
        <v>35.200000000000003</v>
      </c>
      <c r="H88">
        <v>24.2</v>
      </c>
      <c r="I88">
        <v>26.4</v>
      </c>
      <c r="J88">
        <v>41.3</v>
      </c>
      <c r="K88">
        <f t="shared" si="2"/>
        <v>29.700000000000003</v>
      </c>
      <c r="L88" t="str">
        <f t="shared" si="3"/>
        <v>M2-2</v>
      </c>
    </row>
    <row r="89" spans="1:12" x14ac:dyDescent="0.35">
      <c r="A89" t="s">
        <v>175</v>
      </c>
      <c r="B89" t="s">
        <v>85</v>
      </c>
      <c r="C89" t="s">
        <v>253</v>
      </c>
      <c r="D89">
        <v>6501</v>
      </c>
      <c r="E89">
        <v>0.69499999999999995</v>
      </c>
      <c r="F89">
        <v>31.1</v>
      </c>
      <c r="G89">
        <v>36.5</v>
      </c>
      <c r="H89">
        <v>31.4</v>
      </c>
      <c r="I89">
        <v>25.5</v>
      </c>
      <c r="J89">
        <v>42.8</v>
      </c>
      <c r="K89">
        <f t="shared" si="2"/>
        <v>33.950000000000003</v>
      </c>
      <c r="L89" t="str">
        <f t="shared" si="3"/>
        <v>L</v>
      </c>
    </row>
    <row r="90" spans="1:12" x14ac:dyDescent="0.35">
      <c r="A90" t="s">
        <v>175</v>
      </c>
      <c r="B90" t="s">
        <v>89</v>
      </c>
      <c r="C90" t="s">
        <v>254</v>
      </c>
      <c r="D90">
        <v>420</v>
      </c>
      <c r="E90">
        <v>0.68400000000000005</v>
      </c>
      <c r="F90">
        <v>31.4</v>
      </c>
      <c r="G90">
        <v>37.1</v>
      </c>
      <c r="H90">
        <v>30</v>
      </c>
      <c r="I90">
        <v>27.1</v>
      </c>
      <c r="J90">
        <v>40.200000000000003</v>
      </c>
      <c r="K90">
        <f t="shared" si="2"/>
        <v>33.549999999999997</v>
      </c>
      <c r="L90" t="str">
        <f t="shared" si="3"/>
        <v>NS1</v>
      </c>
    </row>
    <row r="91" spans="1:12" x14ac:dyDescent="0.35">
      <c r="A91" t="s">
        <v>175</v>
      </c>
      <c r="B91" t="s">
        <v>89</v>
      </c>
      <c r="C91" t="s">
        <v>255</v>
      </c>
      <c r="D91">
        <v>375</v>
      </c>
      <c r="E91">
        <v>0.73899999999999999</v>
      </c>
      <c r="F91">
        <v>35.200000000000003</v>
      </c>
      <c r="G91">
        <v>32</v>
      </c>
      <c r="H91">
        <v>31.2</v>
      </c>
      <c r="I91">
        <v>42.4</v>
      </c>
      <c r="J91">
        <v>41.2</v>
      </c>
      <c r="K91">
        <f t="shared" si="2"/>
        <v>31.6</v>
      </c>
      <c r="L91" t="str">
        <f t="shared" si="3"/>
        <v>NS2</v>
      </c>
    </row>
    <row r="92" spans="1:12" x14ac:dyDescent="0.35">
      <c r="A92" t="s">
        <v>175</v>
      </c>
      <c r="B92" t="s">
        <v>89</v>
      </c>
      <c r="C92" t="s">
        <v>256</v>
      </c>
      <c r="D92">
        <v>1176</v>
      </c>
      <c r="E92">
        <v>0.68200000000000005</v>
      </c>
      <c r="F92">
        <v>37.6</v>
      </c>
      <c r="G92">
        <v>49</v>
      </c>
      <c r="H92">
        <v>33.4</v>
      </c>
      <c r="I92">
        <v>30.4</v>
      </c>
      <c r="J92">
        <v>45.2</v>
      </c>
      <c r="K92">
        <f t="shared" si="2"/>
        <v>41.2</v>
      </c>
      <c r="L92" t="str">
        <f t="shared" si="3"/>
        <v>N</v>
      </c>
    </row>
    <row r="93" spans="1:12" x14ac:dyDescent="0.35">
      <c r="A93" t="s">
        <v>175</v>
      </c>
      <c r="B93" t="s">
        <v>89</v>
      </c>
      <c r="C93" t="s">
        <v>39</v>
      </c>
      <c r="D93">
        <v>726</v>
      </c>
      <c r="E93">
        <v>0.73399999999999999</v>
      </c>
      <c r="F93">
        <v>37.6</v>
      </c>
      <c r="G93">
        <v>44.2</v>
      </c>
      <c r="H93">
        <v>36.4</v>
      </c>
      <c r="I93">
        <v>32.200000000000003</v>
      </c>
      <c r="J93">
        <v>46.4</v>
      </c>
      <c r="K93">
        <f t="shared" si="2"/>
        <v>40.299999999999997</v>
      </c>
      <c r="L93" t="str">
        <f t="shared" si="3"/>
        <v>P</v>
      </c>
    </row>
    <row r="94" spans="1:12" x14ac:dyDescent="0.35">
      <c r="A94" t="s">
        <v>175</v>
      </c>
      <c r="B94" t="s">
        <v>89</v>
      </c>
      <c r="C94" t="s">
        <v>257</v>
      </c>
      <c r="D94">
        <v>771</v>
      </c>
      <c r="E94">
        <v>0.70099999999999996</v>
      </c>
      <c r="F94">
        <v>37.200000000000003</v>
      </c>
      <c r="G94">
        <v>41.2</v>
      </c>
      <c r="H94">
        <v>37</v>
      </c>
      <c r="I94">
        <v>33.5</v>
      </c>
      <c r="J94">
        <v>49.2</v>
      </c>
      <c r="K94">
        <f t="shared" si="2"/>
        <v>39.1</v>
      </c>
      <c r="L94" t="str">
        <f t="shared" si="3"/>
        <v>M</v>
      </c>
    </row>
    <row r="95" spans="1:12" x14ac:dyDescent="0.35">
      <c r="A95" t="s">
        <v>175</v>
      </c>
      <c r="B95" t="s">
        <v>89</v>
      </c>
      <c r="C95" t="s">
        <v>258</v>
      </c>
      <c r="D95">
        <v>198</v>
      </c>
      <c r="E95">
        <v>0.65</v>
      </c>
      <c r="F95">
        <v>29.8</v>
      </c>
      <c r="G95">
        <v>28.8</v>
      </c>
      <c r="H95">
        <v>27.3</v>
      </c>
      <c r="I95">
        <v>33.299999999999997</v>
      </c>
      <c r="J95">
        <v>33.9</v>
      </c>
      <c r="K95">
        <f t="shared" si="2"/>
        <v>28.05</v>
      </c>
      <c r="L95" t="str">
        <f t="shared" si="3"/>
        <v>SH</v>
      </c>
    </row>
    <row r="96" spans="1:12" x14ac:dyDescent="0.35">
      <c r="A96" t="s">
        <v>175</v>
      </c>
      <c r="B96" t="s">
        <v>89</v>
      </c>
      <c r="C96" t="s">
        <v>259</v>
      </c>
      <c r="D96">
        <v>933</v>
      </c>
      <c r="E96">
        <v>0.753</v>
      </c>
      <c r="F96">
        <v>40.799999999999997</v>
      </c>
      <c r="G96">
        <v>34.700000000000003</v>
      </c>
      <c r="H96">
        <v>49.5</v>
      </c>
      <c r="I96">
        <v>38.299999999999997</v>
      </c>
      <c r="J96">
        <v>45.7</v>
      </c>
      <c r="K96">
        <f t="shared" si="2"/>
        <v>42.1</v>
      </c>
      <c r="L96" t="str">
        <f t="shared" si="3"/>
        <v>G</v>
      </c>
    </row>
    <row r="97" spans="1:12" x14ac:dyDescent="0.35">
      <c r="A97" t="s">
        <v>175</v>
      </c>
      <c r="B97" t="s">
        <v>89</v>
      </c>
      <c r="C97" t="s">
        <v>260</v>
      </c>
      <c r="D97">
        <v>1725</v>
      </c>
      <c r="E97">
        <v>0.69399999999999995</v>
      </c>
      <c r="F97">
        <v>34.6</v>
      </c>
      <c r="G97">
        <v>36.299999999999997</v>
      </c>
      <c r="H97">
        <v>36.700000000000003</v>
      </c>
      <c r="I97">
        <v>30.6</v>
      </c>
      <c r="J97">
        <v>47.6</v>
      </c>
      <c r="K97">
        <f t="shared" si="2"/>
        <v>36.5</v>
      </c>
      <c r="L97" t="str">
        <f t="shared" si="3"/>
        <v>F</v>
      </c>
    </row>
    <row r="98" spans="1:12" x14ac:dyDescent="0.35">
      <c r="A98" t="s">
        <v>175</v>
      </c>
      <c r="B98" t="s">
        <v>89</v>
      </c>
      <c r="C98" t="s">
        <v>261</v>
      </c>
      <c r="D98">
        <v>588</v>
      </c>
      <c r="E98">
        <v>0.73399999999999999</v>
      </c>
      <c r="F98">
        <v>36.4</v>
      </c>
      <c r="G98">
        <v>38.299999999999997</v>
      </c>
      <c r="H98">
        <v>34.200000000000003</v>
      </c>
      <c r="I98">
        <v>36.700000000000003</v>
      </c>
      <c r="J98">
        <v>45</v>
      </c>
      <c r="K98">
        <f t="shared" si="2"/>
        <v>36.25</v>
      </c>
      <c r="L98" t="str">
        <f t="shared" si="3"/>
        <v>M2-1</v>
      </c>
    </row>
    <row r="99" spans="1:12" x14ac:dyDescent="0.35">
      <c r="A99" t="s">
        <v>175</v>
      </c>
      <c r="B99" t="s">
        <v>89</v>
      </c>
      <c r="C99" t="s">
        <v>262</v>
      </c>
      <c r="D99">
        <v>273</v>
      </c>
      <c r="E99">
        <v>0.69299999999999995</v>
      </c>
      <c r="F99">
        <v>28.6</v>
      </c>
      <c r="G99">
        <v>35.200000000000003</v>
      </c>
      <c r="H99">
        <v>24.2</v>
      </c>
      <c r="I99">
        <v>26.4</v>
      </c>
      <c r="J99">
        <v>41.3</v>
      </c>
      <c r="K99">
        <f t="shared" si="2"/>
        <v>29.700000000000003</v>
      </c>
      <c r="L99" t="str">
        <f t="shared" si="3"/>
        <v>M2-2</v>
      </c>
    </row>
    <row r="100" spans="1:12" x14ac:dyDescent="0.35">
      <c r="A100" t="s">
        <v>175</v>
      </c>
      <c r="B100" t="s">
        <v>89</v>
      </c>
      <c r="C100" t="s">
        <v>263</v>
      </c>
      <c r="D100">
        <v>6501</v>
      </c>
      <c r="E100">
        <v>0.69499999999999995</v>
      </c>
      <c r="F100">
        <v>31.2</v>
      </c>
      <c r="G100">
        <v>36.5</v>
      </c>
      <c r="H100">
        <v>31.5</v>
      </c>
      <c r="I100">
        <v>25.7</v>
      </c>
      <c r="J100">
        <v>42.8</v>
      </c>
      <c r="K100">
        <f t="shared" si="2"/>
        <v>34</v>
      </c>
      <c r="L100" t="str">
        <f t="shared" si="3"/>
        <v>L</v>
      </c>
    </row>
    <row r="101" spans="1:12" x14ac:dyDescent="0.35">
      <c r="A101" t="s">
        <v>175</v>
      </c>
      <c r="B101" t="s">
        <v>101</v>
      </c>
      <c r="C101" t="s">
        <v>36</v>
      </c>
      <c r="D101">
        <v>420</v>
      </c>
      <c r="E101">
        <v>0.68</v>
      </c>
      <c r="F101">
        <v>30.2</v>
      </c>
      <c r="G101">
        <v>36.4</v>
      </c>
      <c r="H101">
        <v>30</v>
      </c>
      <c r="I101">
        <v>24.3</v>
      </c>
      <c r="J101">
        <v>37.9</v>
      </c>
      <c r="K101">
        <f t="shared" si="2"/>
        <v>33.200000000000003</v>
      </c>
      <c r="L101" t="str">
        <f t="shared" si="3"/>
        <v>NS1</v>
      </c>
    </row>
    <row r="102" spans="1:12" x14ac:dyDescent="0.35">
      <c r="A102" t="s">
        <v>175</v>
      </c>
      <c r="B102" t="s">
        <v>101</v>
      </c>
      <c r="C102" t="s">
        <v>264</v>
      </c>
      <c r="D102">
        <v>375</v>
      </c>
      <c r="E102">
        <v>0.73699999999999999</v>
      </c>
      <c r="F102">
        <v>34.700000000000003</v>
      </c>
      <c r="G102">
        <v>31.2</v>
      </c>
      <c r="H102">
        <v>31.2</v>
      </c>
      <c r="I102">
        <v>41.6</v>
      </c>
      <c r="J102">
        <v>41.2</v>
      </c>
      <c r="K102">
        <f t="shared" si="2"/>
        <v>31.2</v>
      </c>
      <c r="L102" t="str">
        <f t="shared" si="3"/>
        <v>NS2</v>
      </c>
    </row>
    <row r="103" spans="1:12" x14ac:dyDescent="0.35">
      <c r="A103" t="s">
        <v>175</v>
      </c>
      <c r="B103" t="s">
        <v>101</v>
      </c>
      <c r="C103" t="s">
        <v>38</v>
      </c>
      <c r="D103">
        <v>1176</v>
      </c>
      <c r="E103">
        <v>0.67900000000000005</v>
      </c>
      <c r="F103">
        <v>37.200000000000003</v>
      </c>
      <c r="G103">
        <v>49</v>
      </c>
      <c r="H103">
        <v>33.4</v>
      </c>
      <c r="I103">
        <v>29.1</v>
      </c>
      <c r="J103">
        <v>45.1</v>
      </c>
      <c r="K103">
        <f t="shared" si="2"/>
        <v>41.2</v>
      </c>
      <c r="L103" t="str">
        <f t="shared" si="3"/>
        <v>N</v>
      </c>
    </row>
    <row r="104" spans="1:12" x14ac:dyDescent="0.35">
      <c r="A104" t="s">
        <v>175</v>
      </c>
      <c r="B104" t="s">
        <v>101</v>
      </c>
      <c r="C104" t="s">
        <v>68</v>
      </c>
      <c r="D104">
        <v>726</v>
      </c>
      <c r="E104">
        <v>0.72599999999999998</v>
      </c>
      <c r="F104">
        <v>37.200000000000003</v>
      </c>
      <c r="G104">
        <v>44.6</v>
      </c>
      <c r="H104">
        <v>36.4</v>
      </c>
      <c r="I104">
        <v>30.6</v>
      </c>
      <c r="J104">
        <v>45.1</v>
      </c>
      <c r="K104">
        <f t="shared" si="2"/>
        <v>40.5</v>
      </c>
      <c r="L104" t="str">
        <f t="shared" si="3"/>
        <v>P</v>
      </c>
    </row>
    <row r="105" spans="1:12" x14ac:dyDescent="0.35">
      <c r="A105" t="s">
        <v>175</v>
      </c>
      <c r="B105" t="s">
        <v>101</v>
      </c>
      <c r="C105" t="s">
        <v>265</v>
      </c>
      <c r="D105">
        <v>771</v>
      </c>
      <c r="E105">
        <v>0.68799999999999994</v>
      </c>
      <c r="F105">
        <v>37</v>
      </c>
      <c r="G105">
        <v>41.6</v>
      </c>
      <c r="H105">
        <v>37</v>
      </c>
      <c r="I105">
        <v>32.299999999999997</v>
      </c>
      <c r="J105">
        <v>49.8</v>
      </c>
      <c r="K105">
        <f t="shared" si="2"/>
        <v>39.299999999999997</v>
      </c>
      <c r="L105" t="str">
        <f t="shared" si="3"/>
        <v>M</v>
      </c>
    </row>
    <row r="106" spans="1:12" x14ac:dyDescent="0.35">
      <c r="A106" t="s">
        <v>175</v>
      </c>
      <c r="B106" t="s">
        <v>101</v>
      </c>
      <c r="C106" t="s">
        <v>266</v>
      </c>
      <c r="D106">
        <v>198</v>
      </c>
      <c r="E106">
        <v>0.65600000000000003</v>
      </c>
      <c r="F106">
        <v>29.3</v>
      </c>
      <c r="G106">
        <v>27.3</v>
      </c>
      <c r="H106">
        <v>28.8</v>
      </c>
      <c r="I106">
        <v>31.8</v>
      </c>
      <c r="J106">
        <v>33.299999999999997</v>
      </c>
      <c r="K106">
        <f t="shared" si="2"/>
        <v>28.05</v>
      </c>
      <c r="L106" t="str">
        <f t="shared" si="3"/>
        <v>SH</v>
      </c>
    </row>
    <row r="107" spans="1:12" x14ac:dyDescent="0.35">
      <c r="A107" t="s">
        <v>175</v>
      </c>
      <c r="B107" t="s">
        <v>101</v>
      </c>
      <c r="C107" t="s">
        <v>267</v>
      </c>
      <c r="D107">
        <v>954</v>
      </c>
      <c r="E107">
        <v>0.75</v>
      </c>
      <c r="F107">
        <v>40.9</v>
      </c>
      <c r="G107">
        <v>35.5</v>
      </c>
      <c r="H107">
        <v>49.1</v>
      </c>
      <c r="I107">
        <v>38.1</v>
      </c>
      <c r="J107">
        <v>44</v>
      </c>
      <c r="K107">
        <f t="shared" si="2"/>
        <v>42.3</v>
      </c>
      <c r="L107" t="str">
        <f t="shared" si="3"/>
        <v>G</v>
      </c>
    </row>
    <row r="108" spans="1:12" x14ac:dyDescent="0.35">
      <c r="A108" t="s">
        <v>175</v>
      </c>
      <c r="B108" t="s">
        <v>101</v>
      </c>
      <c r="C108" t="s">
        <v>268</v>
      </c>
      <c r="D108">
        <v>1725</v>
      </c>
      <c r="E108">
        <v>0.69499999999999995</v>
      </c>
      <c r="F108">
        <v>34.799999999999997</v>
      </c>
      <c r="G108">
        <v>36.5</v>
      </c>
      <c r="H108">
        <v>36.700000000000003</v>
      </c>
      <c r="I108">
        <v>31.1</v>
      </c>
      <c r="J108">
        <v>48.5</v>
      </c>
      <c r="K108">
        <f t="shared" si="2"/>
        <v>36.6</v>
      </c>
      <c r="L108" t="str">
        <f t="shared" si="3"/>
        <v>F</v>
      </c>
    </row>
    <row r="109" spans="1:12" x14ac:dyDescent="0.35">
      <c r="A109" t="s">
        <v>175</v>
      </c>
      <c r="B109" t="s">
        <v>101</v>
      </c>
      <c r="C109" t="s">
        <v>269</v>
      </c>
      <c r="D109">
        <v>588</v>
      </c>
      <c r="E109">
        <v>0.73199999999999998</v>
      </c>
      <c r="F109">
        <v>36.6</v>
      </c>
      <c r="G109">
        <v>39.299999999999997</v>
      </c>
      <c r="H109">
        <v>33.700000000000003</v>
      </c>
      <c r="I109">
        <v>36.700000000000003</v>
      </c>
      <c r="J109">
        <v>47.1</v>
      </c>
      <c r="K109">
        <f t="shared" si="2"/>
        <v>36.5</v>
      </c>
      <c r="L109" t="str">
        <f t="shared" si="3"/>
        <v>M2-1</v>
      </c>
    </row>
    <row r="110" spans="1:12" x14ac:dyDescent="0.35">
      <c r="A110" t="s">
        <v>175</v>
      </c>
      <c r="B110" t="s">
        <v>101</v>
      </c>
      <c r="C110" t="s">
        <v>270</v>
      </c>
      <c r="D110">
        <v>273</v>
      </c>
      <c r="E110">
        <v>0.69899999999999995</v>
      </c>
      <c r="F110">
        <v>29.3</v>
      </c>
      <c r="G110">
        <v>35.200000000000003</v>
      </c>
      <c r="H110">
        <v>24.2</v>
      </c>
      <c r="I110">
        <v>28.6</v>
      </c>
      <c r="J110">
        <v>43.7</v>
      </c>
      <c r="K110">
        <f t="shared" si="2"/>
        <v>29.700000000000003</v>
      </c>
      <c r="L110" t="str">
        <f t="shared" si="3"/>
        <v>M2-2</v>
      </c>
    </row>
    <row r="111" spans="1:12" x14ac:dyDescent="0.35">
      <c r="A111" t="s">
        <v>175</v>
      </c>
      <c r="B111" t="s">
        <v>101</v>
      </c>
      <c r="C111" t="s">
        <v>271</v>
      </c>
      <c r="D111">
        <v>6501</v>
      </c>
      <c r="E111">
        <v>0.69499999999999995</v>
      </c>
      <c r="F111">
        <v>31.2</v>
      </c>
      <c r="G111">
        <v>36.5</v>
      </c>
      <c r="H111">
        <v>31.4</v>
      </c>
      <c r="I111">
        <v>25.7</v>
      </c>
      <c r="J111">
        <v>42.9</v>
      </c>
      <c r="K111">
        <f t="shared" si="2"/>
        <v>33.950000000000003</v>
      </c>
      <c r="L111" t="str">
        <f t="shared" si="3"/>
        <v>L</v>
      </c>
    </row>
    <row r="112" spans="1:12" x14ac:dyDescent="0.35">
      <c r="A112" t="s">
        <v>175</v>
      </c>
      <c r="B112" t="s">
        <v>110</v>
      </c>
      <c r="C112" t="s">
        <v>243</v>
      </c>
      <c r="D112">
        <v>420</v>
      </c>
      <c r="E112">
        <v>0.68200000000000005</v>
      </c>
      <c r="F112">
        <v>30</v>
      </c>
      <c r="G112">
        <v>35.700000000000003</v>
      </c>
      <c r="H112">
        <v>30</v>
      </c>
      <c r="I112">
        <v>24.3</v>
      </c>
      <c r="J112">
        <v>34.1</v>
      </c>
      <c r="K112">
        <f t="shared" si="2"/>
        <v>32.85</v>
      </c>
      <c r="L112" t="str">
        <f t="shared" si="3"/>
        <v>NS1</v>
      </c>
    </row>
    <row r="113" spans="1:12" x14ac:dyDescent="0.35">
      <c r="A113" t="s">
        <v>175</v>
      </c>
      <c r="B113" t="s">
        <v>110</v>
      </c>
      <c r="C113" t="s">
        <v>244</v>
      </c>
      <c r="D113">
        <v>375</v>
      </c>
      <c r="E113">
        <v>0.74</v>
      </c>
      <c r="F113">
        <v>35.200000000000003</v>
      </c>
      <c r="G113">
        <v>31.2</v>
      </c>
      <c r="H113">
        <v>31.2</v>
      </c>
      <c r="I113">
        <v>43.2</v>
      </c>
      <c r="J113">
        <v>40.700000000000003</v>
      </c>
      <c r="K113">
        <f t="shared" si="2"/>
        <v>31.2</v>
      </c>
      <c r="L113" t="str">
        <f t="shared" si="3"/>
        <v>NS2</v>
      </c>
    </row>
    <row r="114" spans="1:12" x14ac:dyDescent="0.35">
      <c r="A114" t="s">
        <v>175</v>
      </c>
      <c r="B114" t="s">
        <v>110</v>
      </c>
      <c r="C114" t="s">
        <v>245</v>
      </c>
      <c r="D114">
        <v>1176</v>
      </c>
      <c r="E114">
        <v>0.68</v>
      </c>
      <c r="F114">
        <v>37.299999999999997</v>
      </c>
      <c r="G114">
        <v>48.7</v>
      </c>
      <c r="H114">
        <v>33.4</v>
      </c>
      <c r="I114">
        <v>29.8</v>
      </c>
      <c r="J114">
        <v>44.7</v>
      </c>
      <c r="K114">
        <f t="shared" si="2"/>
        <v>41.05</v>
      </c>
      <c r="L114" t="str">
        <f t="shared" si="3"/>
        <v>N</v>
      </c>
    </row>
    <row r="115" spans="1:12" x14ac:dyDescent="0.35">
      <c r="A115" t="s">
        <v>175</v>
      </c>
      <c r="B115" t="s">
        <v>110</v>
      </c>
      <c r="C115" t="s">
        <v>246</v>
      </c>
      <c r="D115">
        <v>726</v>
      </c>
      <c r="E115">
        <v>0.73599999999999999</v>
      </c>
      <c r="F115">
        <v>37.9</v>
      </c>
      <c r="G115">
        <v>44.2</v>
      </c>
      <c r="H115">
        <v>36.4</v>
      </c>
      <c r="I115">
        <v>33.1</v>
      </c>
      <c r="J115">
        <v>46.2</v>
      </c>
      <c r="K115">
        <f t="shared" si="2"/>
        <v>40.299999999999997</v>
      </c>
      <c r="L115" t="str">
        <f t="shared" si="3"/>
        <v>P</v>
      </c>
    </row>
    <row r="116" spans="1:12" x14ac:dyDescent="0.35">
      <c r="A116" t="s">
        <v>175</v>
      </c>
      <c r="B116" t="s">
        <v>110</v>
      </c>
      <c r="C116" t="s">
        <v>247</v>
      </c>
      <c r="D116">
        <v>771</v>
      </c>
      <c r="E116">
        <v>0.7</v>
      </c>
      <c r="F116">
        <v>37.1</v>
      </c>
      <c r="G116">
        <v>41.2</v>
      </c>
      <c r="H116">
        <v>37</v>
      </c>
      <c r="I116">
        <v>33.1</v>
      </c>
      <c r="J116">
        <v>49.2</v>
      </c>
      <c r="K116">
        <f t="shared" si="2"/>
        <v>39.1</v>
      </c>
      <c r="L116" t="str">
        <f t="shared" si="3"/>
        <v>M</v>
      </c>
    </row>
    <row r="117" spans="1:12" x14ac:dyDescent="0.35">
      <c r="A117" t="s">
        <v>175</v>
      </c>
      <c r="B117" t="s">
        <v>110</v>
      </c>
      <c r="C117" t="s">
        <v>248</v>
      </c>
      <c r="D117">
        <v>198</v>
      </c>
      <c r="E117">
        <v>0.65100000000000002</v>
      </c>
      <c r="F117">
        <v>30.3</v>
      </c>
      <c r="G117">
        <v>28.8</v>
      </c>
      <c r="H117">
        <v>27.3</v>
      </c>
      <c r="I117">
        <v>34.799999999999997</v>
      </c>
      <c r="J117">
        <v>32.1</v>
      </c>
      <c r="K117">
        <f t="shared" si="2"/>
        <v>28.05</v>
      </c>
      <c r="L117" t="str">
        <f t="shared" si="3"/>
        <v>SH</v>
      </c>
    </row>
    <row r="118" spans="1:12" x14ac:dyDescent="0.35">
      <c r="A118" t="s">
        <v>175</v>
      </c>
      <c r="B118" t="s">
        <v>110</v>
      </c>
      <c r="C118" t="s">
        <v>272</v>
      </c>
      <c r="D118">
        <v>933</v>
      </c>
      <c r="E118">
        <v>0.74399999999999999</v>
      </c>
      <c r="F118">
        <v>39.799999999999997</v>
      </c>
      <c r="G118">
        <v>34.700000000000003</v>
      </c>
      <c r="H118">
        <v>48.2</v>
      </c>
      <c r="I118">
        <v>36.299999999999997</v>
      </c>
      <c r="J118">
        <v>44.6</v>
      </c>
      <c r="K118">
        <f t="shared" si="2"/>
        <v>41.45</v>
      </c>
      <c r="L118" t="str">
        <f t="shared" si="3"/>
        <v>G</v>
      </c>
    </row>
    <row r="119" spans="1:12" x14ac:dyDescent="0.35">
      <c r="A119" t="s">
        <v>175</v>
      </c>
      <c r="B119" t="s">
        <v>110</v>
      </c>
      <c r="C119" t="s">
        <v>273</v>
      </c>
      <c r="D119">
        <v>1725</v>
      </c>
      <c r="E119">
        <v>0.69499999999999995</v>
      </c>
      <c r="F119">
        <v>34.799999999999997</v>
      </c>
      <c r="G119">
        <v>36.299999999999997</v>
      </c>
      <c r="H119">
        <v>36.9</v>
      </c>
      <c r="I119">
        <v>31.1</v>
      </c>
      <c r="J119">
        <v>48.2</v>
      </c>
      <c r="K119">
        <f t="shared" si="2"/>
        <v>36.599999999999994</v>
      </c>
      <c r="L119" t="str">
        <f t="shared" si="3"/>
        <v>F</v>
      </c>
    </row>
    <row r="120" spans="1:12" x14ac:dyDescent="0.35">
      <c r="A120" t="s">
        <v>175</v>
      </c>
      <c r="B120" t="s">
        <v>110</v>
      </c>
      <c r="C120" t="s">
        <v>274</v>
      </c>
      <c r="D120">
        <v>588</v>
      </c>
      <c r="E120">
        <v>0.73299999999999998</v>
      </c>
      <c r="F120">
        <v>36.1</v>
      </c>
      <c r="G120">
        <v>38.299999999999997</v>
      </c>
      <c r="H120">
        <v>34.200000000000003</v>
      </c>
      <c r="I120">
        <v>35.700000000000003</v>
      </c>
      <c r="J120">
        <v>44.7</v>
      </c>
      <c r="K120">
        <f t="shared" si="2"/>
        <v>36.25</v>
      </c>
      <c r="L120" t="str">
        <f t="shared" si="3"/>
        <v>M2-1</v>
      </c>
    </row>
    <row r="121" spans="1:12" x14ac:dyDescent="0.35">
      <c r="A121" t="s">
        <v>175</v>
      </c>
      <c r="B121" t="s">
        <v>110</v>
      </c>
      <c r="C121" t="s">
        <v>275</v>
      </c>
      <c r="D121">
        <v>273</v>
      </c>
      <c r="E121">
        <v>0.69299999999999995</v>
      </c>
      <c r="F121">
        <v>28.2</v>
      </c>
      <c r="G121">
        <v>34.1</v>
      </c>
      <c r="H121">
        <v>24.2</v>
      </c>
      <c r="I121">
        <v>26.4</v>
      </c>
      <c r="J121">
        <v>40.700000000000003</v>
      </c>
      <c r="K121">
        <f t="shared" si="2"/>
        <v>29.15</v>
      </c>
      <c r="L121" t="str">
        <f t="shared" si="3"/>
        <v>M2-2</v>
      </c>
    </row>
    <row r="122" spans="1:12" x14ac:dyDescent="0.35">
      <c r="A122" t="s">
        <v>175</v>
      </c>
      <c r="B122" t="s">
        <v>110</v>
      </c>
      <c r="C122" t="s">
        <v>276</v>
      </c>
      <c r="D122">
        <v>6501</v>
      </c>
      <c r="E122">
        <v>0.69599999999999995</v>
      </c>
      <c r="F122">
        <v>31.2</v>
      </c>
      <c r="G122">
        <v>36.299999999999997</v>
      </c>
      <c r="H122">
        <v>31.5</v>
      </c>
      <c r="I122">
        <v>25.8</v>
      </c>
      <c r="J122">
        <v>42.8</v>
      </c>
      <c r="K122">
        <f t="shared" si="2"/>
        <v>33.9</v>
      </c>
      <c r="L122" t="str">
        <f t="shared" si="3"/>
        <v>L</v>
      </c>
    </row>
    <row r="123" spans="1:12" x14ac:dyDescent="0.35">
      <c r="A123" t="s">
        <v>175</v>
      </c>
      <c r="B123" t="s">
        <v>122</v>
      </c>
      <c r="C123" t="s">
        <v>12</v>
      </c>
      <c r="D123">
        <v>420</v>
      </c>
      <c r="E123">
        <v>0.68200000000000005</v>
      </c>
      <c r="F123">
        <v>30.2</v>
      </c>
      <c r="G123">
        <v>36.4</v>
      </c>
      <c r="H123">
        <v>30</v>
      </c>
      <c r="I123">
        <v>24.3</v>
      </c>
      <c r="J123">
        <v>37.799999999999997</v>
      </c>
      <c r="K123">
        <f t="shared" si="2"/>
        <v>33.200000000000003</v>
      </c>
      <c r="L123" t="str">
        <f t="shared" si="3"/>
        <v>NS1</v>
      </c>
    </row>
    <row r="124" spans="1:12" x14ac:dyDescent="0.35">
      <c r="A124" t="s">
        <v>175</v>
      </c>
      <c r="B124" t="s">
        <v>122</v>
      </c>
      <c r="C124" t="s">
        <v>201</v>
      </c>
      <c r="D124">
        <v>375</v>
      </c>
      <c r="E124">
        <v>0.73799999999999999</v>
      </c>
      <c r="F124">
        <v>35.200000000000003</v>
      </c>
      <c r="G124">
        <v>31.2</v>
      </c>
      <c r="H124">
        <v>31.2</v>
      </c>
      <c r="I124">
        <v>43.2</v>
      </c>
      <c r="J124">
        <v>41.8</v>
      </c>
      <c r="K124">
        <f t="shared" si="2"/>
        <v>31.2</v>
      </c>
      <c r="L124" t="str">
        <f t="shared" si="3"/>
        <v>NS2</v>
      </c>
    </row>
    <row r="125" spans="1:12" x14ac:dyDescent="0.35">
      <c r="A125" t="s">
        <v>175</v>
      </c>
      <c r="B125" t="s">
        <v>122</v>
      </c>
      <c r="C125" t="s">
        <v>202</v>
      </c>
      <c r="D125">
        <v>1176</v>
      </c>
      <c r="E125">
        <v>0.67900000000000005</v>
      </c>
      <c r="F125">
        <v>37.200000000000003</v>
      </c>
      <c r="G125">
        <v>48.7</v>
      </c>
      <c r="H125">
        <v>33.4</v>
      </c>
      <c r="I125">
        <v>29.3</v>
      </c>
      <c r="J125">
        <v>44.6</v>
      </c>
      <c r="K125">
        <f t="shared" si="2"/>
        <v>41.05</v>
      </c>
      <c r="L125" t="str">
        <f t="shared" si="3"/>
        <v>N</v>
      </c>
    </row>
    <row r="126" spans="1:12" x14ac:dyDescent="0.35">
      <c r="A126" t="s">
        <v>175</v>
      </c>
      <c r="B126" t="s">
        <v>122</v>
      </c>
      <c r="C126" t="s">
        <v>15</v>
      </c>
      <c r="D126">
        <v>726</v>
      </c>
      <c r="E126">
        <v>0.73499999999999999</v>
      </c>
      <c r="F126">
        <v>37.700000000000003</v>
      </c>
      <c r="G126">
        <v>44.2</v>
      </c>
      <c r="H126">
        <v>36.4</v>
      </c>
      <c r="I126">
        <v>32.6</v>
      </c>
      <c r="J126">
        <v>46.1</v>
      </c>
      <c r="K126">
        <f t="shared" si="2"/>
        <v>40.299999999999997</v>
      </c>
      <c r="L126" t="str">
        <f t="shared" si="3"/>
        <v>P</v>
      </c>
    </row>
    <row r="127" spans="1:12" x14ac:dyDescent="0.35">
      <c r="A127" t="s">
        <v>175</v>
      </c>
      <c r="B127" t="s">
        <v>122</v>
      </c>
      <c r="C127" t="s">
        <v>203</v>
      </c>
      <c r="D127">
        <v>771</v>
      </c>
      <c r="E127">
        <v>0.70299999999999996</v>
      </c>
      <c r="F127">
        <v>37</v>
      </c>
      <c r="G127">
        <v>41.2</v>
      </c>
      <c r="H127">
        <v>37</v>
      </c>
      <c r="I127">
        <v>32.700000000000003</v>
      </c>
      <c r="J127">
        <v>48.9</v>
      </c>
      <c r="K127">
        <f t="shared" si="2"/>
        <v>39.1</v>
      </c>
      <c r="L127" t="str">
        <f t="shared" si="3"/>
        <v>M</v>
      </c>
    </row>
    <row r="128" spans="1:12" x14ac:dyDescent="0.35">
      <c r="A128" t="s">
        <v>175</v>
      </c>
      <c r="B128" t="s">
        <v>122</v>
      </c>
      <c r="C128" t="s">
        <v>204</v>
      </c>
      <c r="D128">
        <v>198</v>
      </c>
      <c r="E128">
        <v>0.65</v>
      </c>
      <c r="F128">
        <v>29.8</v>
      </c>
      <c r="G128">
        <v>28.8</v>
      </c>
      <c r="H128">
        <v>27.3</v>
      </c>
      <c r="I128">
        <v>33.299999999999997</v>
      </c>
      <c r="J128">
        <v>33.9</v>
      </c>
      <c r="K128">
        <f t="shared" si="2"/>
        <v>28.05</v>
      </c>
      <c r="L128" t="str">
        <f t="shared" si="3"/>
        <v>SH</v>
      </c>
    </row>
    <row r="129" spans="1:12" x14ac:dyDescent="0.35">
      <c r="A129" t="s">
        <v>175</v>
      </c>
      <c r="B129" t="s">
        <v>122</v>
      </c>
      <c r="C129" t="s">
        <v>205</v>
      </c>
      <c r="D129">
        <v>933</v>
      </c>
      <c r="E129">
        <v>0.74199999999999999</v>
      </c>
      <c r="F129">
        <v>40.9</v>
      </c>
      <c r="G129">
        <v>35.4</v>
      </c>
      <c r="H129">
        <v>49.5</v>
      </c>
      <c r="I129">
        <v>37.9</v>
      </c>
      <c r="J129">
        <v>44.8</v>
      </c>
      <c r="K129">
        <f t="shared" si="2"/>
        <v>42.45</v>
      </c>
      <c r="L129" t="str">
        <f t="shared" si="3"/>
        <v>G</v>
      </c>
    </row>
    <row r="130" spans="1:12" x14ac:dyDescent="0.35">
      <c r="A130" t="s">
        <v>175</v>
      </c>
      <c r="B130" t="s">
        <v>122</v>
      </c>
      <c r="C130" t="s">
        <v>206</v>
      </c>
      <c r="D130">
        <v>1725</v>
      </c>
      <c r="E130">
        <v>0.69599999999999995</v>
      </c>
      <c r="F130">
        <v>34.6</v>
      </c>
      <c r="G130">
        <v>36.299999999999997</v>
      </c>
      <c r="H130">
        <v>36.9</v>
      </c>
      <c r="I130">
        <v>30.6</v>
      </c>
      <c r="J130">
        <v>46.9</v>
      </c>
      <c r="K130">
        <f t="shared" ref="K130:K193" si="4">(G130+H130)/2</f>
        <v>36.599999999999994</v>
      </c>
      <c r="L130" t="str">
        <f t="shared" ref="L130:L193" si="5">IF(ISNUMBER(SEARCH("M2-1",C130)),"M2-1",IF(ISNUMBER(SEARCH("M2-2",C130)),"M2-2",IF(LEFT(C130,3)="NS1","NS1",IF(LEFT(C130,3)="NS2","NS2",IF(LEFT(C130,2)="N_","N",IF(LEFT(C130,2)="P_","P",IF(LEFT(C130,2)="M_","M",IF(LEFT(C130,2)="SH","SH",IF(LEFT(C130,2)="G_","G",IF(LEFT(C130,2)="F_","F",IF(LEFT(C130,2)="L_","L","UNKNOWN")))))))))))</f>
        <v>F</v>
      </c>
    </row>
    <row r="131" spans="1:12" x14ac:dyDescent="0.35">
      <c r="A131" t="s">
        <v>175</v>
      </c>
      <c r="B131" t="s">
        <v>122</v>
      </c>
      <c r="C131" t="s">
        <v>207</v>
      </c>
      <c r="D131">
        <v>588</v>
      </c>
      <c r="E131">
        <v>0.74099999999999999</v>
      </c>
      <c r="F131">
        <v>36.1</v>
      </c>
      <c r="G131">
        <v>37.799999999999997</v>
      </c>
      <c r="H131">
        <v>34.200000000000003</v>
      </c>
      <c r="I131">
        <v>36.200000000000003</v>
      </c>
      <c r="J131">
        <v>44.9</v>
      </c>
      <c r="K131">
        <f t="shared" si="4"/>
        <v>36</v>
      </c>
      <c r="L131" t="str">
        <f t="shared" si="5"/>
        <v>M2-1</v>
      </c>
    </row>
    <row r="132" spans="1:12" x14ac:dyDescent="0.35">
      <c r="A132" t="s">
        <v>175</v>
      </c>
      <c r="B132" t="s">
        <v>122</v>
      </c>
      <c r="C132" t="s">
        <v>208</v>
      </c>
      <c r="D132">
        <v>273</v>
      </c>
      <c r="E132">
        <v>0.68899999999999995</v>
      </c>
      <c r="F132">
        <v>29.3</v>
      </c>
      <c r="G132">
        <v>35.200000000000003</v>
      </c>
      <c r="H132">
        <v>25.3</v>
      </c>
      <c r="I132">
        <v>27.5</v>
      </c>
      <c r="J132">
        <v>46</v>
      </c>
      <c r="K132">
        <f t="shared" si="4"/>
        <v>30.25</v>
      </c>
      <c r="L132" t="str">
        <f t="shared" si="5"/>
        <v>M2-2</v>
      </c>
    </row>
    <row r="133" spans="1:12" x14ac:dyDescent="0.35">
      <c r="A133" t="s">
        <v>175</v>
      </c>
      <c r="B133" t="s">
        <v>122</v>
      </c>
      <c r="C133" t="s">
        <v>209</v>
      </c>
      <c r="D133">
        <v>6501</v>
      </c>
      <c r="E133">
        <v>0.69599999999999995</v>
      </c>
      <c r="F133">
        <v>31.2</v>
      </c>
      <c r="G133">
        <v>36.4</v>
      </c>
      <c r="H133">
        <v>31.5</v>
      </c>
      <c r="I133">
        <v>25.8</v>
      </c>
      <c r="J133">
        <v>42.9</v>
      </c>
      <c r="K133">
        <f t="shared" si="4"/>
        <v>33.950000000000003</v>
      </c>
      <c r="L133" t="str">
        <f t="shared" si="5"/>
        <v>L</v>
      </c>
    </row>
    <row r="134" spans="1:12" x14ac:dyDescent="0.35">
      <c r="A134" t="s">
        <v>175</v>
      </c>
      <c r="B134" t="s">
        <v>124</v>
      </c>
      <c r="C134" t="s">
        <v>277</v>
      </c>
      <c r="D134">
        <v>420</v>
      </c>
      <c r="E134">
        <v>0.68200000000000005</v>
      </c>
      <c r="F134">
        <v>30.2</v>
      </c>
      <c r="G134">
        <v>36.4</v>
      </c>
      <c r="H134">
        <v>30</v>
      </c>
      <c r="I134">
        <v>24.3</v>
      </c>
      <c r="J134">
        <v>37.799999999999997</v>
      </c>
      <c r="K134">
        <f t="shared" si="4"/>
        <v>33.200000000000003</v>
      </c>
      <c r="L134" t="str">
        <f t="shared" si="5"/>
        <v>NS1</v>
      </c>
    </row>
    <row r="135" spans="1:12" x14ac:dyDescent="0.35">
      <c r="A135" t="s">
        <v>175</v>
      </c>
      <c r="B135" t="s">
        <v>124</v>
      </c>
      <c r="C135" t="s">
        <v>278</v>
      </c>
      <c r="D135">
        <v>375</v>
      </c>
      <c r="E135">
        <v>0.73899999999999999</v>
      </c>
      <c r="F135">
        <v>34.9</v>
      </c>
      <c r="G135">
        <v>31.2</v>
      </c>
      <c r="H135">
        <v>31.2</v>
      </c>
      <c r="I135">
        <v>42.4</v>
      </c>
      <c r="J135">
        <v>41.1</v>
      </c>
      <c r="K135">
        <f t="shared" si="4"/>
        <v>31.2</v>
      </c>
      <c r="L135" t="str">
        <f t="shared" si="5"/>
        <v>NS2</v>
      </c>
    </row>
    <row r="136" spans="1:12" x14ac:dyDescent="0.35">
      <c r="A136" t="s">
        <v>175</v>
      </c>
      <c r="B136" t="s">
        <v>124</v>
      </c>
      <c r="C136" t="s">
        <v>279</v>
      </c>
      <c r="D136">
        <v>1176</v>
      </c>
      <c r="E136">
        <v>0.67500000000000004</v>
      </c>
      <c r="F136">
        <v>36.9</v>
      </c>
      <c r="G136">
        <v>48.7</v>
      </c>
      <c r="H136">
        <v>33.4</v>
      </c>
      <c r="I136">
        <v>28.6</v>
      </c>
      <c r="J136">
        <v>44.4</v>
      </c>
      <c r="K136">
        <f t="shared" si="4"/>
        <v>41.05</v>
      </c>
      <c r="L136" t="str">
        <f t="shared" si="5"/>
        <v>N</v>
      </c>
    </row>
    <row r="137" spans="1:12" x14ac:dyDescent="0.35">
      <c r="A137" t="s">
        <v>175</v>
      </c>
      <c r="B137" t="s">
        <v>124</v>
      </c>
      <c r="C137" t="s">
        <v>280</v>
      </c>
      <c r="D137">
        <v>726</v>
      </c>
      <c r="E137">
        <v>0.73799999999999999</v>
      </c>
      <c r="F137">
        <v>37.5</v>
      </c>
      <c r="G137">
        <v>43.8</v>
      </c>
      <c r="H137">
        <v>36.4</v>
      </c>
      <c r="I137">
        <v>32.200000000000003</v>
      </c>
      <c r="J137">
        <v>45.9</v>
      </c>
      <c r="K137">
        <f t="shared" si="4"/>
        <v>40.099999999999994</v>
      </c>
      <c r="L137" t="str">
        <f t="shared" si="5"/>
        <v>P</v>
      </c>
    </row>
    <row r="138" spans="1:12" x14ac:dyDescent="0.35">
      <c r="A138" t="s">
        <v>175</v>
      </c>
      <c r="B138" t="s">
        <v>124</v>
      </c>
      <c r="C138" t="s">
        <v>123</v>
      </c>
      <c r="D138">
        <v>771</v>
      </c>
      <c r="E138">
        <v>0.70799999999999996</v>
      </c>
      <c r="F138">
        <v>37</v>
      </c>
      <c r="G138">
        <v>40.9</v>
      </c>
      <c r="H138">
        <v>37</v>
      </c>
      <c r="I138">
        <v>33.1</v>
      </c>
      <c r="J138">
        <v>49</v>
      </c>
      <c r="K138">
        <f t="shared" si="4"/>
        <v>38.950000000000003</v>
      </c>
      <c r="L138" t="str">
        <f t="shared" si="5"/>
        <v>M</v>
      </c>
    </row>
    <row r="139" spans="1:12" x14ac:dyDescent="0.35">
      <c r="A139" t="s">
        <v>175</v>
      </c>
      <c r="B139" t="s">
        <v>124</v>
      </c>
      <c r="C139" t="s">
        <v>281</v>
      </c>
      <c r="D139">
        <v>198</v>
      </c>
      <c r="E139">
        <v>0.64900000000000002</v>
      </c>
      <c r="F139">
        <v>29.3</v>
      </c>
      <c r="G139">
        <v>28.8</v>
      </c>
      <c r="H139">
        <v>25.8</v>
      </c>
      <c r="I139">
        <v>33.299999999999997</v>
      </c>
      <c r="J139">
        <v>37.799999999999997</v>
      </c>
      <c r="K139">
        <f t="shared" si="4"/>
        <v>27.3</v>
      </c>
      <c r="L139" t="str">
        <f t="shared" si="5"/>
        <v>SH</v>
      </c>
    </row>
    <row r="140" spans="1:12" x14ac:dyDescent="0.35">
      <c r="A140" t="s">
        <v>175</v>
      </c>
      <c r="B140" t="s">
        <v>124</v>
      </c>
      <c r="C140" t="s">
        <v>282</v>
      </c>
      <c r="D140">
        <v>933</v>
      </c>
      <c r="E140">
        <v>0.749</v>
      </c>
      <c r="F140">
        <v>40.6</v>
      </c>
      <c r="G140">
        <v>35.700000000000003</v>
      </c>
      <c r="H140">
        <v>49.2</v>
      </c>
      <c r="I140">
        <v>37</v>
      </c>
      <c r="J140">
        <v>45.1</v>
      </c>
      <c r="K140">
        <f t="shared" si="4"/>
        <v>42.45</v>
      </c>
      <c r="L140" t="str">
        <f t="shared" si="5"/>
        <v>G</v>
      </c>
    </row>
    <row r="141" spans="1:12" x14ac:dyDescent="0.35">
      <c r="A141" t="s">
        <v>175</v>
      </c>
      <c r="B141" t="s">
        <v>124</v>
      </c>
      <c r="C141" t="s">
        <v>283</v>
      </c>
      <c r="D141">
        <v>1725</v>
      </c>
      <c r="E141">
        <v>0.69399999999999995</v>
      </c>
      <c r="F141">
        <v>34.5</v>
      </c>
      <c r="G141">
        <v>36.299999999999997</v>
      </c>
      <c r="H141">
        <v>36.5</v>
      </c>
      <c r="I141">
        <v>30.6</v>
      </c>
      <c r="J141">
        <v>47.9</v>
      </c>
      <c r="K141">
        <f t="shared" si="4"/>
        <v>36.4</v>
      </c>
      <c r="L141" t="str">
        <f t="shared" si="5"/>
        <v>F</v>
      </c>
    </row>
    <row r="142" spans="1:12" x14ac:dyDescent="0.35">
      <c r="A142" t="s">
        <v>175</v>
      </c>
      <c r="B142" t="s">
        <v>124</v>
      </c>
      <c r="C142" t="s">
        <v>284</v>
      </c>
      <c r="D142">
        <v>588</v>
      </c>
      <c r="E142">
        <v>0.73499999999999999</v>
      </c>
      <c r="F142">
        <v>36.200000000000003</v>
      </c>
      <c r="G142">
        <v>38.299999999999997</v>
      </c>
      <c r="H142">
        <v>34.200000000000003</v>
      </c>
      <c r="I142">
        <v>36.200000000000003</v>
      </c>
      <c r="J142">
        <v>44.8</v>
      </c>
      <c r="K142">
        <f t="shared" si="4"/>
        <v>36.25</v>
      </c>
      <c r="L142" t="str">
        <f t="shared" si="5"/>
        <v>M2-1</v>
      </c>
    </row>
    <row r="143" spans="1:12" x14ac:dyDescent="0.35">
      <c r="A143" t="s">
        <v>175</v>
      </c>
      <c r="B143" t="s">
        <v>124</v>
      </c>
      <c r="C143" t="s">
        <v>285</v>
      </c>
      <c r="D143">
        <v>273</v>
      </c>
      <c r="E143">
        <v>0.68700000000000006</v>
      </c>
      <c r="F143">
        <v>28.2</v>
      </c>
      <c r="G143">
        <v>34.1</v>
      </c>
      <c r="H143">
        <v>24.2</v>
      </c>
      <c r="I143">
        <v>26.4</v>
      </c>
      <c r="J143">
        <v>44.2</v>
      </c>
      <c r="K143">
        <f t="shared" si="4"/>
        <v>29.15</v>
      </c>
      <c r="L143" t="str">
        <f t="shared" si="5"/>
        <v>M2-2</v>
      </c>
    </row>
    <row r="144" spans="1:12" x14ac:dyDescent="0.35">
      <c r="A144" t="s">
        <v>175</v>
      </c>
      <c r="B144" t="s">
        <v>124</v>
      </c>
      <c r="C144" t="s">
        <v>286</v>
      </c>
      <c r="D144">
        <v>6501</v>
      </c>
      <c r="E144">
        <v>0.69599999999999995</v>
      </c>
      <c r="F144">
        <v>31.2</v>
      </c>
      <c r="G144">
        <v>36.4</v>
      </c>
      <c r="H144">
        <v>31.5</v>
      </c>
      <c r="I144">
        <v>25.7</v>
      </c>
      <c r="J144">
        <v>42.9</v>
      </c>
      <c r="K144">
        <f t="shared" si="4"/>
        <v>33.950000000000003</v>
      </c>
      <c r="L144" t="str">
        <f t="shared" si="5"/>
        <v>L</v>
      </c>
    </row>
    <row r="145" spans="1:12" x14ac:dyDescent="0.35">
      <c r="A145" t="s">
        <v>175</v>
      </c>
      <c r="B145" t="s">
        <v>133</v>
      </c>
      <c r="C145" t="s">
        <v>287</v>
      </c>
      <c r="D145">
        <v>420</v>
      </c>
      <c r="E145">
        <v>0.68400000000000005</v>
      </c>
      <c r="F145">
        <v>30</v>
      </c>
      <c r="G145">
        <v>35.700000000000003</v>
      </c>
      <c r="H145">
        <v>30</v>
      </c>
      <c r="I145">
        <v>24.3</v>
      </c>
      <c r="J145">
        <v>37.9</v>
      </c>
      <c r="K145">
        <f t="shared" si="4"/>
        <v>32.85</v>
      </c>
      <c r="L145" t="str">
        <f t="shared" si="5"/>
        <v>NS1</v>
      </c>
    </row>
    <row r="146" spans="1:12" x14ac:dyDescent="0.35">
      <c r="A146" t="s">
        <v>175</v>
      </c>
      <c r="B146" t="s">
        <v>133</v>
      </c>
      <c r="C146" t="s">
        <v>288</v>
      </c>
      <c r="D146">
        <v>375</v>
      </c>
      <c r="E146">
        <v>0.73899999999999999</v>
      </c>
      <c r="F146">
        <v>34.9</v>
      </c>
      <c r="G146">
        <v>31.2</v>
      </c>
      <c r="H146">
        <v>31.2</v>
      </c>
      <c r="I146">
        <v>42.4</v>
      </c>
      <c r="J146">
        <v>41.1</v>
      </c>
      <c r="K146">
        <f t="shared" si="4"/>
        <v>31.2</v>
      </c>
      <c r="L146" t="str">
        <f t="shared" si="5"/>
        <v>NS2</v>
      </c>
    </row>
    <row r="147" spans="1:12" x14ac:dyDescent="0.35">
      <c r="A147" t="s">
        <v>175</v>
      </c>
      <c r="B147" t="s">
        <v>133</v>
      </c>
      <c r="C147" t="s">
        <v>289</v>
      </c>
      <c r="D147">
        <v>1176</v>
      </c>
      <c r="E147">
        <v>0.67400000000000004</v>
      </c>
      <c r="F147">
        <v>37.200000000000003</v>
      </c>
      <c r="G147">
        <v>49</v>
      </c>
      <c r="H147">
        <v>33.4</v>
      </c>
      <c r="I147">
        <v>29.1</v>
      </c>
      <c r="J147">
        <v>44.5</v>
      </c>
      <c r="K147">
        <f t="shared" si="4"/>
        <v>41.2</v>
      </c>
      <c r="L147" t="str">
        <f t="shared" si="5"/>
        <v>N</v>
      </c>
    </row>
    <row r="148" spans="1:12" x14ac:dyDescent="0.35">
      <c r="A148" t="s">
        <v>175</v>
      </c>
      <c r="B148" t="s">
        <v>133</v>
      </c>
      <c r="C148" t="s">
        <v>290</v>
      </c>
      <c r="D148">
        <v>726</v>
      </c>
      <c r="E148">
        <v>0.73399999999999999</v>
      </c>
      <c r="F148">
        <v>37.700000000000003</v>
      </c>
      <c r="G148">
        <v>44.6</v>
      </c>
      <c r="H148">
        <v>36.4</v>
      </c>
      <c r="I148">
        <v>32.200000000000003</v>
      </c>
      <c r="J148">
        <v>46.4</v>
      </c>
      <c r="K148">
        <f t="shared" si="4"/>
        <v>40.5</v>
      </c>
      <c r="L148" t="str">
        <f t="shared" si="5"/>
        <v>P</v>
      </c>
    </row>
    <row r="149" spans="1:12" x14ac:dyDescent="0.35">
      <c r="A149" t="s">
        <v>175</v>
      </c>
      <c r="B149" t="s">
        <v>133</v>
      </c>
      <c r="C149" t="s">
        <v>291</v>
      </c>
      <c r="D149">
        <v>771</v>
      </c>
      <c r="E149">
        <v>0.70199999999999996</v>
      </c>
      <c r="F149">
        <v>37.5</v>
      </c>
      <c r="G149">
        <v>41.2</v>
      </c>
      <c r="H149">
        <v>37</v>
      </c>
      <c r="I149">
        <v>34.200000000000003</v>
      </c>
      <c r="J149">
        <v>49.4</v>
      </c>
      <c r="K149">
        <f t="shared" si="4"/>
        <v>39.1</v>
      </c>
      <c r="L149" t="str">
        <f t="shared" si="5"/>
        <v>M</v>
      </c>
    </row>
    <row r="150" spans="1:12" x14ac:dyDescent="0.35">
      <c r="A150" t="s">
        <v>175</v>
      </c>
      <c r="B150" t="s">
        <v>133</v>
      </c>
      <c r="C150" t="s">
        <v>292</v>
      </c>
      <c r="D150">
        <v>198</v>
      </c>
      <c r="E150">
        <v>0.65</v>
      </c>
      <c r="F150">
        <v>29.8</v>
      </c>
      <c r="G150">
        <v>28.8</v>
      </c>
      <c r="H150">
        <v>27.3</v>
      </c>
      <c r="I150">
        <v>33.299999999999997</v>
      </c>
      <c r="J150">
        <v>33.9</v>
      </c>
      <c r="K150">
        <f t="shared" si="4"/>
        <v>28.05</v>
      </c>
      <c r="L150" t="str">
        <f t="shared" si="5"/>
        <v>SH</v>
      </c>
    </row>
    <row r="151" spans="1:12" x14ac:dyDescent="0.35">
      <c r="A151" t="s">
        <v>175</v>
      </c>
      <c r="B151" t="s">
        <v>133</v>
      </c>
      <c r="C151" t="s">
        <v>293</v>
      </c>
      <c r="D151">
        <v>954</v>
      </c>
      <c r="E151">
        <v>0.74199999999999999</v>
      </c>
      <c r="F151">
        <v>40.799999999999997</v>
      </c>
      <c r="G151">
        <v>36.200000000000003</v>
      </c>
      <c r="H151">
        <v>49.1</v>
      </c>
      <c r="I151">
        <v>37.1</v>
      </c>
      <c r="J151">
        <v>50.6</v>
      </c>
      <c r="K151">
        <f t="shared" si="4"/>
        <v>42.650000000000006</v>
      </c>
      <c r="L151" t="str">
        <f t="shared" si="5"/>
        <v>G</v>
      </c>
    </row>
    <row r="152" spans="1:12" x14ac:dyDescent="0.35">
      <c r="A152" t="s">
        <v>175</v>
      </c>
      <c r="B152" t="s">
        <v>133</v>
      </c>
      <c r="C152" t="s">
        <v>294</v>
      </c>
      <c r="D152">
        <v>1725</v>
      </c>
      <c r="E152">
        <v>0.69399999999999995</v>
      </c>
      <c r="F152">
        <v>34.700000000000003</v>
      </c>
      <c r="G152">
        <v>36.5</v>
      </c>
      <c r="H152">
        <v>36.9</v>
      </c>
      <c r="I152">
        <v>30.6</v>
      </c>
      <c r="J152">
        <v>48</v>
      </c>
      <c r="K152">
        <f t="shared" si="4"/>
        <v>36.700000000000003</v>
      </c>
      <c r="L152" t="str">
        <f t="shared" si="5"/>
        <v>F</v>
      </c>
    </row>
    <row r="153" spans="1:12" x14ac:dyDescent="0.35">
      <c r="A153" t="s">
        <v>175</v>
      </c>
      <c r="B153" t="s">
        <v>133</v>
      </c>
      <c r="C153" t="s">
        <v>295</v>
      </c>
      <c r="D153">
        <v>588</v>
      </c>
      <c r="E153">
        <v>0.73399999999999999</v>
      </c>
      <c r="F153">
        <v>36.200000000000003</v>
      </c>
      <c r="G153">
        <v>38.299999999999997</v>
      </c>
      <c r="H153">
        <v>34.200000000000003</v>
      </c>
      <c r="I153">
        <v>36.200000000000003</v>
      </c>
      <c r="J153">
        <v>44.8</v>
      </c>
      <c r="K153">
        <f t="shared" si="4"/>
        <v>36.25</v>
      </c>
      <c r="L153" t="str">
        <f t="shared" si="5"/>
        <v>M2-1</v>
      </c>
    </row>
    <row r="154" spans="1:12" x14ac:dyDescent="0.35">
      <c r="A154" t="s">
        <v>175</v>
      </c>
      <c r="B154" t="s">
        <v>133</v>
      </c>
      <c r="C154" t="s">
        <v>296</v>
      </c>
      <c r="D154">
        <v>273</v>
      </c>
      <c r="E154">
        <v>0.68700000000000006</v>
      </c>
      <c r="F154">
        <v>28.9</v>
      </c>
      <c r="G154">
        <v>35.200000000000003</v>
      </c>
      <c r="H154">
        <v>25.3</v>
      </c>
      <c r="I154">
        <v>26.4</v>
      </c>
      <c r="J154">
        <v>44.7</v>
      </c>
      <c r="K154">
        <f t="shared" si="4"/>
        <v>30.25</v>
      </c>
      <c r="L154" t="str">
        <f t="shared" si="5"/>
        <v>M2-2</v>
      </c>
    </row>
    <row r="155" spans="1:12" x14ac:dyDescent="0.35">
      <c r="A155" t="s">
        <v>175</v>
      </c>
      <c r="B155" t="s">
        <v>133</v>
      </c>
      <c r="C155" t="s">
        <v>297</v>
      </c>
      <c r="D155">
        <v>6501</v>
      </c>
      <c r="E155">
        <v>0.69499999999999995</v>
      </c>
      <c r="F155">
        <v>31.2</v>
      </c>
      <c r="G155">
        <v>36.4</v>
      </c>
      <c r="H155">
        <v>31.5</v>
      </c>
      <c r="I155">
        <v>25.7</v>
      </c>
      <c r="J155">
        <v>42.9</v>
      </c>
      <c r="K155">
        <f t="shared" si="4"/>
        <v>33.950000000000003</v>
      </c>
      <c r="L155" t="str">
        <f t="shared" si="5"/>
        <v>L</v>
      </c>
    </row>
    <row r="156" spans="1:12" x14ac:dyDescent="0.35">
      <c r="A156" t="s">
        <v>175</v>
      </c>
      <c r="B156" t="s">
        <v>298</v>
      </c>
      <c r="C156" t="s">
        <v>299</v>
      </c>
      <c r="D156">
        <v>420</v>
      </c>
      <c r="E156">
        <v>0.68200000000000005</v>
      </c>
      <c r="F156">
        <v>30.2</v>
      </c>
      <c r="G156">
        <v>36.4</v>
      </c>
      <c r="H156">
        <v>30</v>
      </c>
      <c r="I156">
        <v>24.3</v>
      </c>
      <c r="J156">
        <v>37.799999999999997</v>
      </c>
      <c r="K156">
        <f t="shared" si="4"/>
        <v>33.200000000000003</v>
      </c>
      <c r="L156" t="str">
        <f t="shared" si="5"/>
        <v>NS1</v>
      </c>
    </row>
    <row r="157" spans="1:12" x14ac:dyDescent="0.35">
      <c r="A157" t="s">
        <v>175</v>
      </c>
      <c r="B157" t="s">
        <v>298</v>
      </c>
      <c r="C157" t="s">
        <v>300</v>
      </c>
      <c r="D157">
        <v>375</v>
      </c>
      <c r="E157">
        <v>0.73899999999999999</v>
      </c>
      <c r="F157">
        <v>34.9</v>
      </c>
      <c r="G157">
        <v>31.2</v>
      </c>
      <c r="H157">
        <v>31.2</v>
      </c>
      <c r="I157">
        <v>42.4</v>
      </c>
      <c r="J157">
        <v>41.1</v>
      </c>
      <c r="K157">
        <f t="shared" si="4"/>
        <v>31.2</v>
      </c>
      <c r="L157" t="str">
        <f t="shared" si="5"/>
        <v>NS2</v>
      </c>
    </row>
    <row r="158" spans="1:12" x14ac:dyDescent="0.35">
      <c r="A158" t="s">
        <v>175</v>
      </c>
      <c r="B158" t="s">
        <v>298</v>
      </c>
      <c r="C158" t="s">
        <v>301</v>
      </c>
      <c r="D158">
        <v>1176</v>
      </c>
      <c r="E158">
        <v>0.68</v>
      </c>
      <c r="F158">
        <v>37.4</v>
      </c>
      <c r="G158">
        <v>48.7</v>
      </c>
      <c r="H158">
        <v>33.4</v>
      </c>
      <c r="I158">
        <v>30.1</v>
      </c>
      <c r="J158">
        <v>44.7</v>
      </c>
      <c r="K158">
        <f t="shared" si="4"/>
        <v>41.05</v>
      </c>
      <c r="L158" t="str">
        <f t="shared" si="5"/>
        <v>N</v>
      </c>
    </row>
    <row r="159" spans="1:12" x14ac:dyDescent="0.35">
      <c r="A159" t="s">
        <v>175</v>
      </c>
      <c r="B159" t="s">
        <v>298</v>
      </c>
      <c r="C159" t="s">
        <v>193</v>
      </c>
      <c r="D159">
        <v>726</v>
      </c>
      <c r="E159">
        <v>0.73499999999999999</v>
      </c>
      <c r="F159">
        <v>37.6</v>
      </c>
      <c r="G159">
        <v>44.2</v>
      </c>
      <c r="H159">
        <v>36.4</v>
      </c>
      <c r="I159">
        <v>32.200000000000003</v>
      </c>
      <c r="J159">
        <v>46.1</v>
      </c>
      <c r="K159">
        <f t="shared" si="4"/>
        <v>40.299999999999997</v>
      </c>
      <c r="L159" t="str">
        <f t="shared" si="5"/>
        <v>P</v>
      </c>
    </row>
    <row r="160" spans="1:12" x14ac:dyDescent="0.35">
      <c r="A160" t="s">
        <v>175</v>
      </c>
      <c r="B160" t="s">
        <v>298</v>
      </c>
      <c r="C160" t="s">
        <v>194</v>
      </c>
      <c r="D160">
        <v>771</v>
      </c>
      <c r="E160">
        <v>0.70799999999999996</v>
      </c>
      <c r="F160">
        <v>37.5</v>
      </c>
      <c r="G160">
        <v>41.2</v>
      </c>
      <c r="H160">
        <v>37</v>
      </c>
      <c r="I160">
        <v>34.200000000000003</v>
      </c>
      <c r="J160">
        <v>49.6</v>
      </c>
      <c r="K160">
        <f t="shared" si="4"/>
        <v>39.1</v>
      </c>
      <c r="L160" t="str">
        <f t="shared" si="5"/>
        <v>M</v>
      </c>
    </row>
    <row r="161" spans="1:12" x14ac:dyDescent="0.35">
      <c r="A161" t="s">
        <v>175</v>
      </c>
      <c r="B161" t="s">
        <v>298</v>
      </c>
      <c r="C161" t="s">
        <v>195</v>
      </c>
      <c r="D161">
        <v>198</v>
      </c>
      <c r="E161">
        <v>0.65</v>
      </c>
      <c r="F161">
        <v>29.8</v>
      </c>
      <c r="G161">
        <v>28.8</v>
      </c>
      <c r="H161">
        <v>27.3</v>
      </c>
      <c r="I161">
        <v>33.299999999999997</v>
      </c>
      <c r="J161">
        <v>33.9</v>
      </c>
      <c r="K161">
        <f t="shared" si="4"/>
        <v>28.05</v>
      </c>
      <c r="L161" t="str">
        <f t="shared" si="5"/>
        <v>SH</v>
      </c>
    </row>
    <row r="162" spans="1:12" x14ac:dyDescent="0.35">
      <c r="A162" t="s">
        <v>175</v>
      </c>
      <c r="B162" t="s">
        <v>298</v>
      </c>
      <c r="C162" t="s">
        <v>302</v>
      </c>
      <c r="D162">
        <v>873</v>
      </c>
      <c r="E162">
        <v>0.74299999999999999</v>
      </c>
      <c r="F162">
        <v>39.200000000000003</v>
      </c>
      <c r="G162">
        <v>34</v>
      </c>
      <c r="H162">
        <v>48.1</v>
      </c>
      <c r="I162">
        <v>35.4</v>
      </c>
      <c r="J162">
        <v>45.8</v>
      </c>
      <c r="K162">
        <f t="shared" si="4"/>
        <v>41.05</v>
      </c>
      <c r="L162" t="str">
        <f t="shared" si="5"/>
        <v>G</v>
      </c>
    </row>
    <row r="163" spans="1:12" x14ac:dyDescent="0.35">
      <c r="A163" t="s">
        <v>175</v>
      </c>
      <c r="B163" t="s">
        <v>298</v>
      </c>
      <c r="C163" t="s">
        <v>303</v>
      </c>
      <c r="D163">
        <v>1725</v>
      </c>
      <c r="E163">
        <v>0.69599999999999995</v>
      </c>
      <c r="F163">
        <v>34.700000000000003</v>
      </c>
      <c r="G163">
        <v>36.5</v>
      </c>
      <c r="H163">
        <v>36.9</v>
      </c>
      <c r="I163">
        <v>30.6</v>
      </c>
      <c r="J163">
        <v>48.5</v>
      </c>
      <c r="K163">
        <f t="shared" si="4"/>
        <v>36.700000000000003</v>
      </c>
      <c r="L163" t="str">
        <f t="shared" si="5"/>
        <v>F</v>
      </c>
    </row>
    <row r="164" spans="1:12" x14ac:dyDescent="0.35">
      <c r="A164" t="s">
        <v>175</v>
      </c>
      <c r="B164" t="s">
        <v>298</v>
      </c>
      <c r="C164" t="s">
        <v>304</v>
      </c>
      <c r="D164">
        <v>588</v>
      </c>
      <c r="E164">
        <v>0.73099999999999998</v>
      </c>
      <c r="F164">
        <v>36.4</v>
      </c>
      <c r="G164">
        <v>38.799999999999997</v>
      </c>
      <c r="H164">
        <v>34.200000000000003</v>
      </c>
      <c r="I164">
        <v>36.200000000000003</v>
      </c>
      <c r="J164">
        <v>45.5</v>
      </c>
      <c r="K164">
        <f t="shared" si="4"/>
        <v>36.5</v>
      </c>
      <c r="L164" t="str">
        <f t="shared" si="5"/>
        <v>M2-1</v>
      </c>
    </row>
    <row r="165" spans="1:12" x14ac:dyDescent="0.35">
      <c r="A165" t="s">
        <v>175</v>
      </c>
      <c r="B165" t="s">
        <v>298</v>
      </c>
      <c r="C165" t="s">
        <v>305</v>
      </c>
      <c r="D165">
        <v>273</v>
      </c>
      <c r="E165">
        <v>0.69299999999999995</v>
      </c>
      <c r="F165">
        <v>28.6</v>
      </c>
      <c r="G165">
        <v>35.200000000000003</v>
      </c>
      <c r="H165">
        <v>24.2</v>
      </c>
      <c r="I165">
        <v>26.4</v>
      </c>
      <c r="J165">
        <v>41.3</v>
      </c>
      <c r="K165">
        <f t="shared" si="4"/>
        <v>29.700000000000003</v>
      </c>
      <c r="L165" t="str">
        <f t="shared" si="5"/>
        <v>M2-2</v>
      </c>
    </row>
    <row r="166" spans="1:12" x14ac:dyDescent="0.35">
      <c r="A166" t="s">
        <v>175</v>
      </c>
      <c r="B166" t="s">
        <v>298</v>
      </c>
      <c r="C166" t="s">
        <v>306</v>
      </c>
      <c r="D166">
        <v>6501</v>
      </c>
      <c r="E166">
        <v>0.69599999999999995</v>
      </c>
      <c r="F166">
        <v>31.2</v>
      </c>
      <c r="G166">
        <v>36.5</v>
      </c>
      <c r="H166">
        <v>31.4</v>
      </c>
      <c r="I166">
        <v>25.7</v>
      </c>
      <c r="J166">
        <v>42.8</v>
      </c>
      <c r="K166">
        <f t="shared" si="4"/>
        <v>33.950000000000003</v>
      </c>
      <c r="L166" t="str">
        <f t="shared" si="5"/>
        <v>L</v>
      </c>
    </row>
    <row r="167" spans="1:12" x14ac:dyDescent="0.35">
      <c r="A167" t="s">
        <v>175</v>
      </c>
      <c r="B167" t="s">
        <v>307</v>
      </c>
      <c r="C167" t="s">
        <v>147</v>
      </c>
      <c r="D167">
        <v>420</v>
      </c>
      <c r="E167">
        <v>0.68400000000000005</v>
      </c>
      <c r="F167">
        <v>30.7</v>
      </c>
      <c r="G167">
        <v>36.4</v>
      </c>
      <c r="H167">
        <v>30</v>
      </c>
      <c r="I167">
        <v>25.7</v>
      </c>
      <c r="J167">
        <v>38.5</v>
      </c>
      <c r="K167">
        <f t="shared" si="4"/>
        <v>33.200000000000003</v>
      </c>
      <c r="L167" t="str">
        <f t="shared" si="5"/>
        <v>NS1</v>
      </c>
    </row>
    <row r="168" spans="1:12" x14ac:dyDescent="0.35">
      <c r="A168" t="s">
        <v>175</v>
      </c>
      <c r="B168" t="s">
        <v>307</v>
      </c>
      <c r="C168" t="s">
        <v>308</v>
      </c>
      <c r="D168">
        <v>375</v>
      </c>
      <c r="E168">
        <v>0.73699999999999999</v>
      </c>
      <c r="F168">
        <v>34.700000000000003</v>
      </c>
      <c r="G168">
        <v>31.2</v>
      </c>
      <c r="H168">
        <v>31.2</v>
      </c>
      <c r="I168">
        <v>41.6</v>
      </c>
      <c r="J168">
        <v>41.1</v>
      </c>
      <c r="K168">
        <f t="shared" si="4"/>
        <v>31.2</v>
      </c>
      <c r="L168" t="str">
        <f t="shared" si="5"/>
        <v>NS2</v>
      </c>
    </row>
    <row r="169" spans="1:12" x14ac:dyDescent="0.35">
      <c r="A169" t="s">
        <v>175</v>
      </c>
      <c r="B169" t="s">
        <v>307</v>
      </c>
      <c r="C169" t="s">
        <v>309</v>
      </c>
      <c r="D169">
        <v>1176</v>
      </c>
      <c r="E169">
        <v>0.67400000000000004</v>
      </c>
      <c r="F169">
        <v>36.9</v>
      </c>
      <c r="G169">
        <v>48.7</v>
      </c>
      <c r="H169">
        <v>33.4</v>
      </c>
      <c r="I169">
        <v>28.6</v>
      </c>
      <c r="J169">
        <v>44.1</v>
      </c>
      <c r="K169">
        <f t="shared" si="4"/>
        <v>41.05</v>
      </c>
      <c r="L169" t="str">
        <f t="shared" si="5"/>
        <v>N</v>
      </c>
    </row>
    <row r="170" spans="1:12" x14ac:dyDescent="0.35">
      <c r="A170" t="s">
        <v>175</v>
      </c>
      <c r="B170" t="s">
        <v>307</v>
      </c>
      <c r="C170" t="s">
        <v>224</v>
      </c>
      <c r="D170">
        <v>726</v>
      </c>
      <c r="E170">
        <v>0.73699999999999999</v>
      </c>
      <c r="F170">
        <v>37.299999999999997</v>
      </c>
      <c r="G170">
        <v>43.8</v>
      </c>
      <c r="H170">
        <v>36.4</v>
      </c>
      <c r="I170">
        <v>31.8</v>
      </c>
      <c r="J170">
        <v>46.2</v>
      </c>
      <c r="K170">
        <f t="shared" si="4"/>
        <v>40.099999999999994</v>
      </c>
      <c r="L170" t="str">
        <f t="shared" si="5"/>
        <v>P</v>
      </c>
    </row>
    <row r="171" spans="1:12" x14ac:dyDescent="0.35">
      <c r="A171" t="s">
        <v>175</v>
      </c>
      <c r="B171" t="s">
        <v>307</v>
      </c>
      <c r="C171" t="s">
        <v>225</v>
      </c>
      <c r="D171">
        <v>771</v>
      </c>
      <c r="E171">
        <v>0.70499999999999996</v>
      </c>
      <c r="F171">
        <v>37.200000000000003</v>
      </c>
      <c r="G171">
        <v>41.2</v>
      </c>
      <c r="H171">
        <v>37</v>
      </c>
      <c r="I171">
        <v>33.5</v>
      </c>
      <c r="J171">
        <v>49.4</v>
      </c>
      <c r="K171">
        <f t="shared" si="4"/>
        <v>39.1</v>
      </c>
      <c r="L171" t="str">
        <f t="shared" si="5"/>
        <v>M</v>
      </c>
    </row>
    <row r="172" spans="1:12" x14ac:dyDescent="0.35">
      <c r="A172" t="s">
        <v>175</v>
      </c>
      <c r="B172" t="s">
        <v>307</v>
      </c>
      <c r="C172" t="s">
        <v>226</v>
      </c>
      <c r="D172">
        <v>198</v>
      </c>
      <c r="E172">
        <v>0.65</v>
      </c>
      <c r="F172">
        <v>29.8</v>
      </c>
      <c r="G172">
        <v>28.8</v>
      </c>
      <c r="H172">
        <v>27.3</v>
      </c>
      <c r="I172">
        <v>33.299999999999997</v>
      </c>
      <c r="J172">
        <v>33.9</v>
      </c>
      <c r="K172">
        <f t="shared" si="4"/>
        <v>28.05</v>
      </c>
      <c r="L172" t="str">
        <f t="shared" si="5"/>
        <v>SH</v>
      </c>
    </row>
    <row r="173" spans="1:12" x14ac:dyDescent="0.35">
      <c r="A173" t="s">
        <v>175</v>
      </c>
      <c r="B173" t="s">
        <v>307</v>
      </c>
      <c r="C173" t="s">
        <v>310</v>
      </c>
      <c r="D173">
        <v>930</v>
      </c>
      <c r="E173">
        <v>0.747</v>
      </c>
      <c r="F173">
        <v>40.6</v>
      </c>
      <c r="G173">
        <v>35.799999999999997</v>
      </c>
      <c r="H173">
        <v>49.7</v>
      </c>
      <c r="I173">
        <v>36.5</v>
      </c>
      <c r="J173">
        <v>48.2</v>
      </c>
      <c r="K173">
        <f t="shared" si="4"/>
        <v>42.75</v>
      </c>
      <c r="L173" t="str">
        <f t="shared" si="5"/>
        <v>G</v>
      </c>
    </row>
    <row r="174" spans="1:12" x14ac:dyDescent="0.35">
      <c r="A174" t="s">
        <v>175</v>
      </c>
      <c r="B174" t="s">
        <v>307</v>
      </c>
      <c r="C174" t="s">
        <v>311</v>
      </c>
      <c r="D174">
        <v>1725</v>
      </c>
      <c r="E174">
        <v>0.69599999999999995</v>
      </c>
      <c r="F174">
        <v>34.4</v>
      </c>
      <c r="G174">
        <v>36.200000000000003</v>
      </c>
      <c r="H174">
        <v>36.299999999999997</v>
      </c>
      <c r="I174">
        <v>30.8</v>
      </c>
      <c r="J174">
        <v>48.6</v>
      </c>
      <c r="K174">
        <f t="shared" si="4"/>
        <v>36.25</v>
      </c>
      <c r="L174" t="str">
        <f t="shared" si="5"/>
        <v>F</v>
      </c>
    </row>
    <row r="175" spans="1:12" x14ac:dyDescent="0.35">
      <c r="A175" t="s">
        <v>175</v>
      </c>
      <c r="B175" t="s">
        <v>307</v>
      </c>
      <c r="C175" t="s">
        <v>312</v>
      </c>
      <c r="D175">
        <v>588</v>
      </c>
      <c r="E175">
        <v>0.73699999999999999</v>
      </c>
      <c r="F175">
        <v>36.4</v>
      </c>
      <c r="G175">
        <v>38.299999999999997</v>
      </c>
      <c r="H175">
        <v>34.200000000000003</v>
      </c>
      <c r="I175">
        <v>36.700000000000003</v>
      </c>
      <c r="J175">
        <v>44.1</v>
      </c>
      <c r="K175">
        <f t="shared" si="4"/>
        <v>36.25</v>
      </c>
      <c r="L175" t="str">
        <f t="shared" si="5"/>
        <v>M2-1</v>
      </c>
    </row>
    <row r="176" spans="1:12" x14ac:dyDescent="0.35">
      <c r="A176" t="s">
        <v>175</v>
      </c>
      <c r="B176" t="s">
        <v>307</v>
      </c>
      <c r="C176" t="s">
        <v>313</v>
      </c>
      <c r="D176">
        <v>273</v>
      </c>
      <c r="E176">
        <v>0.69299999999999995</v>
      </c>
      <c r="F176">
        <v>27.8</v>
      </c>
      <c r="G176">
        <v>34.1</v>
      </c>
      <c r="H176">
        <v>23.1</v>
      </c>
      <c r="I176">
        <v>26.4</v>
      </c>
      <c r="J176">
        <v>40.9</v>
      </c>
      <c r="K176">
        <f t="shared" si="4"/>
        <v>28.6</v>
      </c>
      <c r="L176" t="str">
        <f t="shared" si="5"/>
        <v>M2-2</v>
      </c>
    </row>
    <row r="177" spans="1:12" x14ac:dyDescent="0.35">
      <c r="A177" t="s">
        <v>175</v>
      </c>
      <c r="B177" t="s">
        <v>307</v>
      </c>
      <c r="C177" t="s">
        <v>314</v>
      </c>
      <c r="D177">
        <v>6501</v>
      </c>
      <c r="E177">
        <v>0.69499999999999995</v>
      </c>
      <c r="F177">
        <v>31.2</v>
      </c>
      <c r="G177">
        <v>36.299999999999997</v>
      </c>
      <c r="H177">
        <v>31.6</v>
      </c>
      <c r="I177">
        <v>25.6</v>
      </c>
      <c r="J177">
        <v>42.9</v>
      </c>
      <c r="K177">
        <f t="shared" si="4"/>
        <v>33.950000000000003</v>
      </c>
      <c r="L177" t="str">
        <f t="shared" si="5"/>
        <v>L</v>
      </c>
    </row>
    <row r="178" spans="1:12" x14ac:dyDescent="0.35">
      <c r="A178" t="s">
        <v>175</v>
      </c>
      <c r="B178" t="s">
        <v>315</v>
      </c>
      <c r="C178" t="s">
        <v>316</v>
      </c>
      <c r="D178">
        <v>420</v>
      </c>
      <c r="E178">
        <v>0.67400000000000004</v>
      </c>
      <c r="F178">
        <v>30</v>
      </c>
      <c r="G178">
        <v>36.4</v>
      </c>
      <c r="H178">
        <v>30</v>
      </c>
      <c r="I178">
        <v>23.6</v>
      </c>
      <c r="J178">
        <v>37.6</v>
      </c>
      <c r="K178">
        <f t="shared" si="4"/>
        <v>33.200000000000003</v>
      </c>
      <c r="L178" t="str">
        <f t="shared" si="5"/>
        <v>NS1</v>
      </c>
    </row>
    <row r="179" spans="1:12" x14ac:dyDescent="0.35">
      <c r="A179" t="s">
        <v>175</v>
      </c>
      <c r="B179" t="s">
        <v>315</v>
      </c>
      <c r="C179" t="s">
        <v>317</v>
      </c>
      <c r="D179">
        <v>375</v>
      </c>
      <c r="E179">
        <v>0.745</v>
      </c>
      <c r="F179">
        <v>34.9</v>
      </c>
      <c r="G179">
        <v>32</v>
      </c>
      <c r="H179">
        <v>31.2</v>
      </c>
      <c r="I179">
        <v>41.6</v>
      </c>
      <c r="J179">
        <v>41.2</v>
      </c>
      <c r="K179">
        <f t="shared" si="4"/>
        <v>31.6</v>
      </c>
      <c r="L179" t="str">
        <f t="shared" si="5"/>
        <v>NS2</v>
      </c>
    </row>
    <row r="180" spans="1:12" x14ac:dyDescent="0.35">
      <c r="A180" t="s">
        <v>175</v>
      </c>
      <c r="B180" t="s">
        <v>315</v>
      </c>
      <c r="C180" t="s">
        <v>318</v>
      </c>
      <c r="D180">
        <v>1176</v>
      </c>
      <c r="E180">
        <v>0.67600000000000005</v>
      </c>
      <c r="F180">
        <v>36.799999999999997</v>
      </c>
      <c r="G180">
        <v>48.7</v>
      </c>
      <c r="H180">
        <v>33.4</v>
      </c>
      <c r="I180">
        <v>28.3</v>
      </c>
      <c r="J180">
        <v>44.1</v>
      </c>
      <c r="K180">
        <f t="shared" si="4"/>
        <v>41.05</v>
      </c>
      <c r="L180" t="str">
        <f t="shared" si="5"/>
        <v>N</v>
      </c>
    </row>
    <row r="181" spans="1:12" x14ac:dyDescent="0.35">
      <c r="A181" t="s">
        <v>175</v>
      </c>
      <c r="B181" t="s">
        <v>315</v>
      </c>
      <c r="C181" t="s">
        <v>319</v>
      </c>
      <c r="D181">
        <v>726</v>
      </c>
      <c r="E181">
        <v>0.745</v>
      </c>
      <c r="F181">
        <v>38</v>
      </c>
      <c r="G181">
        <v>44.2</v>
      </c>
      <c r="H181">
        <v>36.4</v>
      </c>
      <c r="I181">
        <v>33.5</v>
      </c>
      <c r="J181">
        <v>46.2</v>
      </c>
      <c r="K181">
        <f t="shared" si="4"/>
        <v>40.299999999999997</v>
      </c>
      <c r="L181" t="str">
        <f t="shared" si="5"/>
        <v>P</v>
      </c>
    </row>
    <row r="182" spans="1:12" x14ac:dyDescent="0.35">
      <c r="A182" t="s">
        <v>175</v>
      </c>
      <c r="B182" t="s">
        <v>315</v>
      </c>
      <c r="C182" t="s">
        <v>320</v>
      </c>
      <c r="D182">
        <v>771</v>
      </c>
      <c r="E182">
        <v>0.7</v>
      </c>
      <c r="F182">
        <v>37.700000000000003</v>
      </c>
      <c r="G182">
        <v>41.6</v>
      </c>
      <c r="H182">
        <v>37</v>
      </c>
      <c r="I182">
        <v>34.6</v>
      </c>
      <c r="J182">
        <v>49.1</v>
      </c>
      <c r="K182">
        <f t="shared" si="4"/>
        <v>39.299999999999997</v>
      </c>
      <c r="L182" t="str">
        <f t="shared" si="5"/>
        <v>M</v>
      </c>
    </row>
    <row r="183" spans="1:12" x14ac:dyDescent="0.35">
      <c r="A183" t="s">
        <v>175</v>
      </c>
      <c r="B183" t="s">
        <v>315</v>
      </c>
      <c r="C183" t="s">
        <v>321</v>
      </c>
      <c r="D183">
        <v>198</v>
      </c>
      <c r="E183">
        <v>0.64100000000000001</v>
      </c>
      <c r="F183">
        <v>30.3</v>
      </c>
      <c r="G183">
        <v>28.8</v>
      </c>
      <c r="H183">
        <v>27.3</v>
      </c>
      <c r="I183">
        <v>34.799999999999997</v>
      </c>
      <c r="J183">
        <v>33.9</v>
      </c>
      <c r="K183">
        <f t="shared" si="4"/>
        <v>28.05</v>
      </c>
      <c r="L183" t="str">
        <f t="shared" si="5"/>
        <v>SH</v>
      </c>
    </row>
    <row r="184" spans="1:12" x14ac:dyDescent="0.35">
      <c r="A184" t="s">
        <v>175</v>
      </c>
      <c r="B184" t="s">
        <v>315</v>
      </c>
      <c r="C184" t="s">
        <v>322</v>
      </c>
      <c r="D184">
        <v>933</v>
      </c>
      <c r="E184">
        <v>0.747</v>
      </c>
      <c r="F184">
        <v>40.200000000000003</v>
      </c>
      <c r="G184">
        <v>35</v>
      </c>
      <c r="H184">
        <v>48.6</v>
      </c>
      <c r="I184">
        <v>37</v>
      </c>
      <c r="J184">
        <v>44.7</v>
      </c>
      <c r="K184">
        <f t="shared" si="4"/>
        <v>41.8</v>
      </c>
      <c r="L184" t="str">
        <f t="shared" si="5"/>
        <v>G</v>
      </c>
    </row>
    <row r="185" spans="1:12" x14ac:dyDescent="0.35">
      <c r="A185" t="s">
        <v>175</v>
      </c>
      <c r="B185" t="s">
        <v>315</v>
      </c>
      <c r="C185" t="s">
        <v>323</v>
      </c>
      <c r="D185">
        <v>1725</v>
      </c>
      <c r="E185">
        <v>0.69399999999999995</v>
      </c>
      <c r="F185">
        <v>34.5</v>
      </c>
      <c r="G185">
        <v>36.5</v>
      </c>
      <c r="H185">
        <v>36.299999999999997</v>
      </c>
      <c r="I185">
        <v>30.6</v>
      </c>
      <c r="J185">
        <v>47.6</v>
      </c>
      <c r="K185">
        <f t="shared" si="4"/>
        <v>36.4</v>
      </c>
      <c r="L185" t="str">
        <f t="shared" si="5"/>
        <v>F</v>
      </c>
    </row>
    <row r="186" spans="1:12" x14ac:dyDescent="0.35">
      <c r="A186" t="s">
        <v>175</v>
      </c>
      <c r="B186" t="s">
        <v>315</v>
      </c>
      <c r="C186" t="s">
        <v>324</v>
      </c>
      <c r="D186">
        <v>588</v>
      </c>
      <c r="E186">
        <v>0.73099999999999998</v>
      </c>
      <c r="F186">
        <v>36.700000000000003</v>
      </c>
      <c r="G186">
        <v>38.799999999999997</v>
      </c>
      <c r="H186">
        <v>34.200000000000003</v>
      </c>
      <c r="I186">
        <v>37.200000000000003</v>
      </c>
      <c r="J186">
        <v>44.8</v>
      </c>
      <c r="K186">
        <f t="shared" si="4"/>
        <v>36.5</v>
      </c>
      <c r="L186" t="str">
        <f t="shared" si="5"/>
        <v>M2-1</v>
      </c>
    </row>
    <row r="187" spans="1:12" x14ac:dyDescent="0.35">
      <c r="A187" t="s">
        <v>175</v>
      </c>
      <c r="B187" t="s">
        <v>315</v>
      </c>
      <c r="C187" t="s">
        <v>325</v>
      </c>
      <c r="D187">
        <v>273</v>
      </c>
      <c r="E187">
        <v>0.68600000000000005</v>
      </c>
      <c r="F187">
        <v>28.2</v>
      </c>
      <c r="G187">
        <v>35.200000000000003</v>
      </c>
      <c r="H187">
        <v>24.2</v>
      </c>
      <c r="I187">
        <v>25.3</v>
      </c>
      <c r="J187">
        <v>45</v>
      </c>
      <c r="K187">
        <f t="shared" si="4"/>
        <v>29.700000000000003</v>
      </c>
      <c r="L187" t="str">
        <f t="shared" si="5"/>
        <v>M2-2</v>
      </c>
    </row>
    <row r="188" spans="1:12" x14ac:dyDescent="0.35">
      <c r="A188" t="s">
        <v>175</v>
      </c>
      <c r="B188" t="s">
        <v>315</v>
      </c>
      <c r="C188" t="s">
        <v>326</v>
      </c>
      <c r="D188">
        <v>6501</v>
      </c>
      <c r="E188">
        <v>0.69599999999999995</v>
      </c>
      <c r="F188">
        <v>31.2</v>
      </c>
      <c r="G188">
        <v>36.4</v>
      </c>
      <c r="H188">
        <v>31.5</v>
      </c>
      <c r="I188">
        <v>25.8</v>
      </c>
      <c r="J188">
        <v>42.8</v>
      </c>
      <c r="K188">
        <f t="shared" si="4"/>
        <v>33.950000000000003</v>
      </c>
      <c r="L188" t="str">
        <f t="shared" si="5"/>
        <v>L</v>
      </c>
    </row>
    <row r="189" spans="1:12" x14ac:dyDescent="0.35">
      <c r="A189" t="s">
        <v>175</v>
      </c>
      <c r="B189" t="s">
        <v>167</v>
      </c>
      <c r="C189" t="s">
        <v>221</v>
      </c>
      <c r="D189">
        <v>420</v>
      </c>
      <c r="E189">
        <v>0.68200000000000005</v>
      </c>
      <c r="F189">
        <v>30.2</v>
      </c>
      <c r="G189">
        <v>36.4</v>
      </c>
      <c r="H189">
        <v>30</v>
      </c>
      <c r="I189">
        <v>24.3</v>
      </c>
      <c r="J189">
        <v>37.799999999999997</v>
      </c>
      <c r="K189">
        <f t="shared" si="4"/>
        <v>33.200000000000003</v>
      </c>
      <c r="L189" t="str">
        <f t="shared" si="5"/>
        <v>NS1</v>
      </c>
    </row>
    <row r="190" spans="1:12" x14ac:dyDescent="0.35">
      <c r="A190" t="s">
        <v>175</v>
      </c>
      <c r="B190" t="s">
        <v>167</v>
      </c>
      <c r="C190" t="s">
        <v>222</v>
      </c>
      <c r="D190">
        <v>375</v>
      </c>
      <c r="E190">
        <v>0.73899999999999999</v>
      </c>
      <c r="F190">
        <v>34.700000000000003</v>
      </c>
      <c r="G190">
        <v>30.4</v>
      </c>
      <c r="H190">
        <v>31.2</v>
      </c>
      <c r="I190">
        <v>42.4</v>
      </c>
      <c r="J190">
        <v>37.1</v>
      </c>
      <c r="K190">
        <f t="shared" si="4"/>
        <v>30.799999999999997</v>
      </c>
      <c r="L190" t="str">
        <f t="shared" si="5"/>
        <v>NS2</v>
      </c>
    </row>
    <row r="191" spans="1:12" x14ac:dyDescent="0.35">
      <c r="A191" t="s">
        <v>175</v>
      </c>
      <c r="B191" t="s">
        <v>167</v>
      </c>
      <c r="C191" t="s">
        <v>327</v>
      </c>
      <c r="D191">
        <v>1176</v>
      </c>
      <c r="E191">
        <v>0.67700000000000005</v>
      </c>
      <c r="F191">
        <v>37</v>
      </c>
      <c r="G191">
        <v>48.7</v>
      </c>
      <c r="H191">
        <v>33.200000000000003</v>
      </c>
      <c r="I191">
        <v>29.1</v>
      </c>
      <c r="J191">
        <v>44.2</v>
      </c>
      <c r="K191">
        <f t="shared" si="4"/>
        <v>40.950000000000003</v>
      </c>
      <c r="L191" t="str">
        <f t="shared" si="5"/>
        <v>N</v>
      </c>
    </row>
    <row r="192" spans="1:12" x14ac:dyDescent="0.35">
      <c r="A192" t="s">
        <v>175</v>
      </c>
      <c r="B192" t="s">
        <v>167</v>
      </c>
      <c r="C192" t="s">
        <v>328</v>
      </c>
      <c r="D192">
        <v>726</v>
      </c>
      <c r="E192">
        <v>0.73799999999999999</v>
      </c>
      <c r="F192">
        <v>37.299999999999997</v>
      </c>
      <c r="G192">
        <v>43.8</v>
      </c>
      <c r="H192">
        <v>36.4</v>
      </c>
      <c r="I192">
        <v>31.8</v>
      </c>
      <c r="J192">
        <v>45.8</v>
      </c>
      <c r="K192">
        <f t="shared" si="4"/>
        <v>40.099999999999994</v>
      </c>
      <c r="L192" t="str">
        <f t="shared" si="5"/>
        <v>P</v>
      </c>
    </row>
    <row r="193" spans="1:12" x14ac:dyDescent="0.35">
      <c r="A193" t="s">
        <v>175</v>
      </c>
      <c r="B193" t="s">
        <v>167</v>
      </c>
      <c r="C193" t="s">
        <v>151</v>
      </c>
      <c r="D193">
        <v>771</v>
      </c>
      <c r="E193">
        <v>0.70499999999999996</v>
      </c>
      <c r="F193">
        <v>37.200000000000003</v>
      </c>
      <c r="G193">
        <v>41.2</v>
      </c>
      <c r="H193">
        <v>37</v>
      </c>
      <c r="I193">
        <v>33.5</v>
      </c>
      <c r="J193">
        <v>49.4</v>
      </c>
      <c r="K193">
        <f t="shared" si="4"/>
        <v>39.1</v>
      </c>
      <c r="L193" t="str">
        <f t="shared" si="5"/>
        <v>M</v>
      </c>
    </row>
    <row r="194" spans="1:12" x14ac:dyDescent="0.35">
      <c r="A194" t="s">
        <v>175</v>
      </c>
      <c r="B194" t="s">
        <v>167</v>
      </c>
      <c r="C194" t="s">
        <v>329</v>
      </c>
      <c r="D194">
        <v>198</v>
      </c>
      <c r="E194">
        <v>0.64800000000000002</v>
      </c>
      <c r="F194">
        <v>29.3</v>
      </c>
      <c r="G194">
        <v>28.8</v>
      </c>
      <c r="H194">
        <v>27.3</v>
      </c>
      <c r="I194">
        <v>31.8</v>
      </c>
      <c r="J194">
        <v>33.9</v>
      </c>
      <c r="K194">
        <f t="shared" ref="K194:K199" si="6">(G194+H194)/2</f>
        <v>28.05</v>
      </c>
      <c r="L194" t="str">
        <f t="shared" ref="L194:L199" si="7">IF(ISNUMBER(SEARCH("M2-1",C194)),"M2-1",IF(ISNUMBER(SEARCH("M2-2",C194)),"M2-2",IF(LEFT(C194,3)="NS1","NS1",IF(LEFT(C194,3)="NS2","NS2",IF(LEFT(C194,2)="N_","N",IF(LEFT(C194,2)="P_","P",IF(LEFT(C194,2)="M_","M",IF(LEFT(C194,2)="SH","SH",IF(LEFT(C194,2)="G_","G",IF(LEFT(C194,2)="F_","F",IF(LEFT(C194,2)="L_","L","UNKNOWN")))))))))))</f>
        <v>SH</v>
      </c>
    </row>
    <row r="195" spans="1:12" x14ac:dyDescent="0.35">
      <c r="A195" t="s">
        <v>175</v>
      </c>
      <c r="B195" t="s">
        <v>167</v>
      </c>
      <c r="C195" t="s">
        <v>330</v>
      </c>
      <c r="D195">
        <v>954</v>
      </c>
      <c r="E195">
        <v>0.747</v>
      </c>
      <c r="F195">
        <v>40.799999999999997</v>
      </c>
      <c r="G195">
        <v>36.200000000000003</v>
      </c>
      <c r="H195">
        <v>48.4</v>
      </c>
      <c r="I195">
        <v>37.700000000000003</v>
      </c>
      <c r="J195">
        <v>46.4</v>
      </c>
      <c r="K195">
        <f t="shared" si="6"/>
        <v>42.3</v>
      </c>
      <c r="L195" t="str">
        <f t="shared" si="7"/>
        <v>G</v>
      </c>
    </row>
    <row r="196" spans="1:12" x14ac:dyDescent="0.35">
      <c r="A196" t="s">
        <v>175</v>
      </c>
      <c r="B196" t="s">
        <v>167</v>
      </c>
      <c r="C196" t="s">
        <v>331</v>
      </c>
      <c r="D196">
        <v>1725</v>
      </c>
      <c r="E196">
        <v>0.69299999999999995</v>
      </c>
      <c r="F196">
        <v>34.5</v>
      </c>
      <c r="G196">
        <v>36.5</v>
      </c>
      <c r="H196">
        <v>36.5</v>
      </c>
      <c r="I196">
        <v>30.4</v>
      </c>
      <c r="J196">
        <v>48</v>
      </c>
      <c r="K196">
        <f t="shared" si="6"/>
        <v>36.5</v>
      </c>
      <c r="L196" t="str">
        <f t="shared" si="7"/>
        <v>F</v>
      </c>
    </row>
    <row r="197" spans="1:12" x14ac:dyDescent="0.35">
      <c r="A197" t="s">
        <v>175</v>
      </c>
      <c r="B197" t="s">
        <v>167</v>
      </c>
      <c r="C197" t="s">
        <v>332</v>
      </c>
      <c r="D197">
        <v>588</v>
      </c>
      <c r="E197">
        <v>0.73099999999999998</v>
      </c>
      <c r="F197">
        <v>36.200000000000003</v>
      </c>
      <c r="G197">
        <v>38.299999999999997</v>
      </c>
      <c r="H197">
        <v>34.200000000000003</v>
      </c>
      <c r="I197">
        <v>36.200000000000003</v>
      </c>
      <c r="J197">
        <v>46.3</v>
      </c>
      <c r="K197">
        <f t="shared" si="6"/>
        <v>36.25</v>
      </c>
      <c r="L197" t="str">
        <f t="shared" si="7"/>
        <v>M2-1</v>
      </c>
    </row>
    <row r="198" spans="1:12" x14ac:dyDescent="0.35">
      <c r="A198" t="s">
        <v>175</v>
      </c>
      <c r="B198" t="s">
        <v>167</v>
      </c>
      <c r="C198" t="s">
        <v>333</v>
      </c>
      <c r="D198">
        <v>273</v>
      </c>
      <c r="E198">
        <v>0.67900000000000005</v>
      </c>
      <c r="F198">
        <v>27.8</v>
      </c>
      <c r="G198">
        <v>34.1</v>
      </c>
      <c r="H198">
        <v>24.2</v>
      </c>
      <c r="I198">
        <v>25.3</v>
      </c>
      <c r="J198">
        <v>43.8</v>
      </c>
      <c r="K198">
        <f t="shared" si="6"/>
        <v>29.15</v>
      </c>
      <c r="L198" t="str">
        <f t="shared" si="7"/>
        <v>M2-2</v>
      </c>
    </row>
    <row r="199" spans="1:12" x14ac:dyDescent="0.35">
      <c r="A199" t="s">
        <v>175</v>
      </c>
      <c r="B199" t="s">
        <v>167</v>
      </c>
      <c r="C199" t="s">
        <v>334</v>
      </c>
      <c r="D199">
        <v>6501</v>
      </c>
      <c r="E199">
        <v>0.69499999999999995</v>
      </c>
      <c r="F199">
        <v>31.2</v>
      </c>
      <c r="G199">
        <v>36.5</v>
      </c>
      <c r="H199">
        <v>31.5</v>
      </c>
      <c r="I199">
        <v>25.6</v>
      </c>
      <c r="J199">
        <v>42.8</v>
      </c>
      <c r="K199">
        <f t="shared" si="6"/>
        <v>34</v>
      </c>
      <c r="L199" t="str">
        <f t="shared" si="7"/>
        <v>L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CC21-3C5C-49D4-96F3-4BA23C0F4D3C}">
  <dimension ref="A1:L199"/>
  <sheetViews>
    <sheetView tabSelected="1" topLeftCell="G1" zoomScale="85" zoomScaleNormal="85" workbookViewId="0">
      <selection activeCell="R16" sqref="R1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335</v>
      </c>
      <c r="L1" s="1" t="s">
        <v>336</v>
      </c>
    </row>
    <row r="2" spans="1:12" x14ac:dyDescent="0.35">
      <c r="A2" t="s">
        <v>10</v>
      </c>
      <c r="B2" t="s">
        <v>11</v>
      </c>
      <c r="C2" t="s">
        <v>12</v>
      </c>
      <c r="D2">
        <v>420</v>
      </c>
      <c r="E2">
        <v>0.71899999999999997</v>
      </c>
      <c r="F2">
        <v>31.4</v>
      </c>
      <c r="G2">
        <v>35</v>
      </c>
      <c r="H2">
        <v>30</v>
      </c>
      <c r="I2">
        <v>29.3</v>
      </c>
      <c r="J2">
        <v>51.5</v>
      </c>
      <c r="K2">
        <f>(G2+H2)/2</f>
        <v>32.5</v>
      </c>
      <c r="L2" t="str">
        <f>IF(ISNUMBER(SEARCH("M2-1",C2)),"M2-1",IF(ISNUMBER(SEARCH("M2-2",C2)),"M2-2",IF(LEFT(C2,3)="NS1","NS1",IF(LEFT(C2,3)="NS2","NS2",IF(LEFT(C2,2)="N_","N",IF(LEFT(C2,2)="P_","P",IF(LEFT(C2,2)="M_","M",IF(LEFT(C2,2)="SH","SH",IF(LEFT(C2,2)="G_","G",IF(LEFT(C2,2)="F_","F",IF(LEFT(C2,2)="L_","L","UNKNOWN")))))))))))</f>
        <v>NS1</v>
      </c>
    </row>
    <row r="3" spans="1:12" x14ac:dyDescent="0.35">
      <c r="A3" t="s">
        <v>10</v>
      </c>
      <c r="B3" t="s">
        <v>11</v>
      </c>
      <c r="C3" t="s">
        <v>13</v>
      </c>
      <c r="D3">
        <v>375</v>
      </c>
      <c r="E3">
        <v>0.76300000000000001</v>
      </c>
      <c r="F3">
        <v>34.4</v>
      </c>
      <c r="G3">
        <v>34.4</v>
      </c>
      <c r="H3">
        <v>32</v>
      </c>
      <c r="I3">
        <v>36.799999999999997</v>
      </c>
      <c r="J3">
        <v>45.2</v>
      </c>
      <c r="K3">
        <f t="shared" ref="K3:K66" si="0">(G3+H3)/2</f>
        <v>33.200000000000003</v>
      </c>
      <c r="L3" t="str">
        <f t="shared" ref="L3:L66" si="1">IF(ISNUMBER(SEARCH("M2-1",C3)),"M2-1",IF(ISNUMBER(SEARCH("M2-2",C3)),"M2-2",IF(LEFT(C3,3)="NS1","NS1",IF(LEFT(C3,3)="NS2","NS2",IF(LEFT(C3,2)="N_","N",IF(LEFT(C3,2)="P_","P",IF(LEFT(C3,2)="M_","M",IF(LEFT(C3,2)="SH","SH",IF(LEFT(C3,2)="G_","G",IF(LEFT(C3,2)="F_","F",IF(LEFT(C3,2)="L_","L","UNKNOWN")))))))))))</f>
        <v>NS2</v>
      </c>
    </row>
    <row r="4" spans="1:12" x14ac:dyDescent="0.35">
      <c r="A4" t="s">
        <v>10</v>
      </c>
      <c r="B4" t="s">
        <v>11</v>
      </c>
      <c r="C4" t="s">
        <v>14</v>
      </c>
      <c r="D4">
        <v>1176</v>
      </c>
      <c r="E4">
        <v>0.70099999999999996</v>
      </c>
      <c r="F4">
        <v>37.200000000000003</v>
      </c>
      <c r="G4">
        <v>48</v>
      </c>
      <c r="H4">
        <v>33.9</v>
      </c>
      <c r="I4">
        <v>29.8</v>
      </c>
      <c r="J4">
        <v>45.5</v>
      </c>
      <c r="K4">
        <f t="shared" si="0"/>
        <v>40.950000000000003</v>
      </c>
      <c r="L4" t="str">
        <f t="shared" si="1"/>
        <v>N</v>
      </c>
    </row>
    <row r="5" spans="1:12" x14ac:dyDescent="0.35">
      <c r="A5" t="s">
        <v>10</v>
      </c>
      <c r="B5" t="s">
        <v>11</v>
      </c>
      <c r="C5" t="s">
        <v>15</v>
      </c>
      <c r="D5">
        <v>726</v>
      </c>
      <c r="E5">
        <v>0.71799999999999997</v>
      </c>
      <c r="F5">
        <v>35.299999999999997</v>
      </c>
      <c r="G5">
        <v>44.2</v>
      </c>
      <c r="H5">
        <v>34.700000000000003</v>
      </c>
      <c r="I5">
        <v>26.9</v>
      </c>
      <c r="J5">
        <v>43.6</v>
      </c>
      <c r="K5">
        <f t="shared" si="0"/>
        <v>39.450000000000003</v>
      </c>
      <c r="L5" t="str">
        <f t="shared" si="1"/>
        <v>P</v>
      </c>
    </row>
    <row r="6" spans="1:12" x14ac:dyDescent="0.35">
      <c r="A6" t="s">
        <v>10</v>
      </c>
      <c r="B6" t="s">
        <v>11</v>
      </c>
      <c r="C6" t="s">
        <v>16</v>
      </c>
      <c r="D6">
        <v>771</v>
      </c>
      <c r="E6">
        <v>0.69799999999999995</v>
      </c>
      <c r="F6">
        <v>36.799999999999997</v>
      </c>
      <c r="G6">
        <v>41.2</v>
      </c>
      <c r="H6">
        <v>36.200000000000003</v>
      </c>
      <c r="I6">
        <v>33.1</v>
      </c>
      <c r="J6">
        <v>39.700000000000003</v>
      </c>
      <c r="K6">
        <f t="shared" si="0"/>
        <v>38.700000000000003</v>
      </c>
      <c r="L6" t="str">
        <f t="shared" si="1"/>
        <v>M</v>
      </c>
    </row>
    <row r="7" spans="1:12" x14ac:dyDescent="0.35">
      <c r="A7" t="s">
        <v>10</v>
      </c>
      <c r="B7" t="s">
        <v>11</v>
      </c>
      <c r="C7" t="s">
        <v>17</v>
      </c>
      <c r="D7">
        <v>195</v>
      </c>
      <c r="E7">
        <v>0.68</v>
      </c>
      <c r="F7">
        <v>31.8</v>
      </c>
      <c r="G7">
        <v>26.2</v>
      </c>
      <c r="H7">
        <v>30.8</v>
      </c>
      <c r="I7">
        <v>38.5</v>
      </c>
      <c r="J7">
        <v>44.5</v>
      </c>
      <c r="K7">
        <f t="shared" si="0"/>
        <v>28.5</v>
      </c>
      <c r="L7" t="str">
        <f t="shared" si="1"/>
        <v>SH</v>
      </c>
    </row>
    <row r="8" spans="1:12" x14ac:dyDescent="0.35">
      <c r="A8" t="s">
        <v>10</v>
      </c>
      <c r="B8" t="s">
        <v>11</v>
      </c>
      <c r="C8" t="s">
        <v>18</v>
      </c>
      <c r="D8">
        <v>966</v>
      </c>
      <c r="E8">
        <v>0.74099999999999999</v>
      </c>
      <c r="F8">
        <v>43.1</v>
      </c>
      <c r="G8">
        <v>35.700000000000003</v>
      </c>
      <c r="H8">
        <v>49.1</v>
      </c>
      <c r="I8">
        <v>44.4</v>
      </c>
      <c r="J8">
        <v>48.8</v>
      </c>
      <c r="K8">
        <f t="shared" si="0"/>
        <v>42.400000000000006</v>
      </c>
      <c r="L8" t="str">
        <f t="shared" si="1"/>
        <v>G</v>
      </c>
    </row>
    <row r="9" spans="1:12" x14ac:dyDescent="0.35">
      <c r="A9" t="s">
        <v>10</v>
      </c>
      <c r="B9" t="s">
        <v>11</v>
      </c>
      <c r="C9" t="s">
        <v>19</v>
      </c>
      <c r="D9">
        <v>1725</v>
      </c>
      <c r="E9">
        <v>0.69499999999999995</v>
      </c>
      <c r="F9">
        <v>35.299999999999997</v>
      </c>
      <c r="G9">
        <v>37.4</v>
      </c>
      <c r="H9">
        <v>37.6</v>
      </c>
      <c r="I9">
        <v>31</v>
      </c>
      <c r="J9">
        <v>46.3</v>
      </c>
      <c r="K9">
        <f t="shared" si="0"/>
        <v>37.5</v>
      </c>
      <c r="L9" t="str">
        <f t="shared" si="1"/>
        <v>F</v>
      </c>
    </row>
    <row r="10" spans="1:12" x14ac:dyDescent="0.35">
      <c r="A10" t="s">
        <v>10</v>
      </c>
      <c r="B10" t="s">
        <v>11</v>
      </c>
      <c r="C10" t="s">
        <v>20</v>
      </c>
      <c r="D10">
        <v>585</v>
      </c>
      <c r="E10">
        <v>0.72799999999999998</v>
      </c>
      <c r="F10">
        <v>36.6</v>
      </c>
      <c r="G10">
        <v>40</v>
      </c>
      <c r="H10">
        <v>35.4</v>
      </c>
      <c r="I10">
        <v>34.4</v>
      </c>
      <c r="J10">
        <v>48.8</v>
      </c>
      <c r="K10">
        <f t="shared" si="0"/>
        <v>37.700000000000003</v>
      </c>
      <c r="L10" t="str">
        <f t="shared" si="1"/>
        <v>M2-1</v>
      </c>
    </row>
    <row r="11" spans="1:12" x14ac:dyDescent="0.35">
      <c r="A11" t="s">
        <v>10</v>
      </c>
      <c r="B11" t="s">
        <v>11</v>
      </c>
      <c r="C11" t="s">
        <v>21</v>
      </c>
      <c r="D11">
        <v>267</v>
      </c>
      <c r="E11">
        <v>0.63800000000000001</v>
      </c>
      <c r="F11">
        <v>28.8</v>
      </c>
      <c r="G11">
        <v>36</v>
      </c>
      <c r="H11">
        <v>27</v>
      </c>
      <c r="I11">
        <v>23.6</v>
      </c>
      <c r="J11">
        <v>44.2</v>
      </c>
      <c r="K11">
        <f t="shared" si="0"/>
        <v>31.5</v>
      </c>
      <c r="L11" t="str">
        <f t="shared" si="1"/>
        <v>M2-2</v>
      </c>
    </row>
    <row r="12" spans="1:12" x14ac:dyDescent="0.35">
      <c r="A12" t="s">
        <v>10</v>
      </c>
      <c r="B12" t="s">
        <v>11</v>
      </c>
      <c r="C12" t="s">
        <v>22</v>
      </c>
      <c r="D12">
        <v>6498</v>
      </c>
      <c r="E12">
        <v>0.69299999999999995</v>
      </c>
      <c r="F12">
        <v>30.9</v>
      </c>
      <c r="G12">
        <v>35.9</v>
      </c>
      <c r="H12">
        <v>30.9</v>
      </c>
      <c r="I12">
        <v>25.9</v>
      </c>
      <c r="J12">
        <v>41.9</v>
      </c>
      <c r="K12">
        <f t="shared" si="0"/>
        <v>33.4</v>
      </c>
      <c r="L12" t="str">
        <f t="shared" si="1"/>
        <v>L</v>
      </c>
    </row>
    <row r="13" spans="1:12" x14ac:dyDescent="0.35">
      <c r="A13" t="s">
        <v>10</v>
      </c>
      <c r="B13" t="s">
        <v>23</v>
      </c>
      <c r="C13" t="s">
        <v>24</v>
      </c>
      <c r="D13">
        <v>420</v>
      </c>
      <c r="E13">
        <v>0.70899999999999996</v>
      </c>
      <c r="F13">
        <v>30.5</v>
      </c>
      <c r="G13">
        <v>35</v>
      </c>
      <c r="H13">
        <v>29.3</v>
      </c>
      <c r="I13">
        <v>27.1</v>
      </c>
      <c r="J13">
        <v>47.9</v>
      </c>
      <c r="K13">
        <f t="shared" si="0"/>
        <v>32.15</v>
      </c>
      <c r="L13" t="str">
        <f t="shared" si="1"/>
        <v>NS1</v>
      </c>
    </row>
    <row r="14" spans="1:12" x14ac:dyDescent="0.35">
      <c r="A14" t="s">
        <v>10</v>
      </c>
      <c r="B14" t="s">
        <v>23</v>
      </c>
      <c r="C14" t="s">
        <v>25</v>
      </c>
      <c r="D14">
        <v>375</v>
      </c>
      <c r="E14">
        <v>0.75900000000000001</v>
      </c>
      <c r="F14">
        <v>33.6</v>
      </c>
      <c r="G14">
        <v>34.4</v>
      </c>
      <c r="H14">
        <v>31.2</v>
      </c>
      <c r="I14">
        <v>35.200000000000003</v>
      </c>
      <c r="J14">
        <v>42</v>
      </c>
      <c r="K14">
        <f t="shared" si="0"/>
        <v>32.799999999999997</v>
      </c>
      <c r="L14" t="str">
        <f t="shared" si="1"/>
        <v>NS2</v>
      </c>
    </row>
    <row r="15" spans="1:12" x14ac:dyDescent="0.35">
      <c r="A15" t="s">
        <v>10</v>
      </c>
      <c r="B15" t="s">
        <v>23</v>
      </c>
      <c r="C15" t="s">
        <v>26</v>
      </c>
      <c r="D15">
        <v>1176</v>
      </c>
      <c r="E15">
        <v>0.70099999999999996</v>
      </c>
      <c r="F15">
        <v>37</v>
      </c>
      <c r="G15">
        <v>47.7</v>
      </c>
      <c r="H15">
        <v>33.9</v>
      </c>
      <c r="I15">
        <v>29.3</v>
      </c>
      <c r="J15">
        <v>45.2</v>
      </c>
      <c r="K15">
        <f t="shared" si="0"/>
        <v>40.799999999999997</v>
      </c>
      <c r="L15" t="str">
        <f t="shared" si="1"/>
        <v>N</v>
      </c>
    </row>
    <row r="16" spans="1:12" x14ac:dyDescent="0.35">
      <c r="A16" t="s">
        <v>10</v>
      </c>
      <c r="B16" t="s">
        <v>23</v>
      </c>
      <c r="C16" t="s">
        <v>27</v>
      </c>
      <c r="D16">
        <v>726</v>
      </c>
      <c r="E16">
        <v>0.71799999999999997</v>
      </c>
      <c r="F16">
        <v>35.700000000000003</v>
      </c>
      <c r="G16">
        <v>44.6</v>
      </c>
      <c r="H16">
        <v>35.1</v>
      </c>
      <c r="I16">
        <v>27.3</v>
      </c>
      <c r="J16">
        <v>44.6</v>
      </c>
      <c r="K16">
        <f t="shared" si="0"/>
        <v>39.85</v>
      </c>
      <c r="L16" t="str">
        <f t="shared" si="1"/>
        <v>P</v>
      </c>
    </row>
    <row r="17" spans="1:12" x14ac:dyDescent="0.35">
      <c r="A17" t="s">
        <v>10</v>
      </c>
      <c r="B17" t="s">
        <v>23</v>
      </c>
      <c r="C17" t="s">
        <v>28</v>
      </c>
      <c r="D17">
        <v>771</v>
      </c>
      <c r="E17">
        <v>0.7</v>
      </c>
      <c r="F17">
        <v>37</v>
      </c>
      <c r="G17">
        <v>41.2</v>
      </c>
      <c r="H17">
        <v>36.200000000000003</v>
      </c>
      <c r="I17">
        <v>33.5</v>
      </c>
      <c r="J17">
        <v>39.4</v>
      </c>
      <c r="K17">
        <f t="shared" si="0"/>
        <v>38.700000000000003</v>
      </c>
      <c r="L17" t="str">
        <f t="shared" si="1"/>
        <v>M</v>
      </c>
    </row>
    <row r="18" spans="1:12" x14ac:dyDescent="0.35">
      <c r="A18" t="s">
        <v>10</v>
      </c>
      <c r="B18" t="s">
        <v>23</v>
      </c>
      <c r="C18" t="s">
        <v>29</v>
      </c>
      <c r="D18">
        <v>195</v>
      </c>
      <c r="E18">
        <v>0.68200000000000005</v>
      </c>
      <c r="F18">
        <v>32.799999999999997</v>
      </c>
      <c r="G18">
        <v>26.2</v>
      </c>
      <c r="H18">
        <v>32.299999999999997</v>
      </c>
      <c r="I18">
        <v>40</v>
      </c>
      <c r="J18">
        <v>45.5</v>
      </c>
      <c r="K18">
        <f t="shared" si="0"/>
        <v>29.25</v>
      </c>
      <c r="L18" t="str">
        <f t="shared" si="1"/>
        <v>SH</v>
      </c>
    </row>
    <row r="19" spans="1:12" x14ac:dyDescent="0.35">
      <c r="A19" t="s">
        <v>10</v>
      </c>
      <c r="B19" t="s">
        <v>23</v>
      </c>
      <c r="C19" t="s">
        <v>30</v>
      </c>
      <c r="D19">
        <v>963</v>
      </c>
      <c r="E19">
        <v>0.76100000000000001</v>
      </c>
      <c r="F19">
        <v>44.8</v>
      </c>
      <c r="G19">
        <v>37.700000000000003</v>
      </c>
      <c r="H19">
        <v>50.5</v>
      </c>
      <c r="I19">
        <v>46.1</v>
      </c>
      <c r="J19">
        <v>46.9</v>
      </c>
      <c r="K19">
        <f t="shared" si="0"/>
        <v>44.1</v>
      </c>
      <c r="L19" t="str">
        <f t="shared" si="1"/>
        <v>G</v>
      </c>
    </row>
    <row r="20" spans="1:12" x14ac:dyDescent="0.35">
      <c r="A20" t="s">
        <v>10</v>
      </c>
      <c r="B20" t="s">
        <v>23</v>
      </c>
      <c r="C20" t="s">
        <v>31</v>
      </c>
      <c r="D20">
        <v>1725</v>
      </c>
      <c r="E20">
        <v>0.68899999999999995</v>
      </c>
      <c r="F20">
        <v>35.200000000000003</v>
      </c>
      <c r="G20">
        <v>37.6</v>
      </c>
      <c r="H20">
        <v>37.4</v>
      </c>
      <c r="I20">
        <v>30.6</v>
      </c>
      <c r="J20">
        <v>46</v>
      </c>
      <c r="K20">
        <f t="shared" si="0"/>
        <v>37.5</v>
      </c>
      <c r="L20" t="str">
        <f t="shared" si="1"/>
        <v>F</v>
      </c>
    </row>
    <row r="21" spans="1:12" x14ac:dyDescent="0.35">
      <c r="A21" t="s">
        <v>10</v>
      </c>
      <c r="B21" t="s">
        <v>23</v>
      </c>
      <c r="C21" t="s">
        <v>32</v>
      </c>
      <c r="D21">
        <v>585</v>
      </c>
      <c r="E21">
        <v>0.73099999999999998</v>
      </c>
      <c r="F21">
        <v>36.4</v>
      </c>
      <c r="G21">
        <v>39</v>
      </c>
      <c r="H21">
        <v>34.9</v>
      </c>
      <c r="I21">
        <v>35.4</v>
      </c>
      <c r="J21">
        <v>48</v>
      </c>
      <c r="K21">
        <f t="shared" si="0"/>
        <v>36.950000000000003</v>
      </c>
      <c r="L21" t="str">
        <f t="shared" si="1"/>
        <v>M2-1</v>
      </c>
    </row>
    <row r="22" spans="1:12" x14ac:dyDescent="0.35">
      <c r="A22" t="s">
        <v>10</v>
      </c>
      <c r="B22" t="s">
        <v>23</v>
      </c>
      <c r="C22" t="s">
        <v>33</v>
      </c>
      <c r="D22">
        <v>267</v>
      </c>
      <c r="E22">
        <v>0.64</v>
      </c>
      <c r="F22">
        <v>28.5</v>
      </c>
      <c r="G22">
        <v>34.799999999999997</v>
      </c>
      <c r="H22">
        <v>27</v>
      </c>
      <c r="I22">
        <v>23.6</v>
      </c>
      <c r="J22">
        <v>43.1</v>
      </c>
      <c r="K22">
        <f t="shared" si="0"/>
        <v>30.9</v>
      </c>
      <c r="L22" t="str">
        <f t="shared" si="1"/>
        <v>M2-2</v>
      </c>
    </row>
    <row r="23" spans="1:12" x14ac:dyDescent="0.35">
      <c r="A23" t="s">
        <v>10</v>
      </c>
      <c r="B23" t="s">
        <v>23</v>
      </c>
      <c r="C23" t="s">
        <v>34</v>
      </c>
      <c r="D23">
        <v>6498</v>
      </c>
      <c r="E23">
        <v>0.69199999999999995</v>
      </c>
      <c r="F23">
        <v>30.9</v>
      </c>
      <c r="G23">
        <v>36.1</v>
      </c>
      <c r="H23">
        <v>31</v>
      </c>
      <c r="I23">
        <v>25.6</v>
      </c>
      <c r="J23">
        <v>41.5</v>
      </c>
      <c r="K23">
        <f t="shared" si="0"/>
        <v>33.549999999999997</v>
      </c>
      <c r="L23" t="str">
        <f t="shared" si="1"/>
        <v>L</v>
      </c>
    </row>
    <row r="24" spans="1:12" x14ac:dyDescent="0.35">
      <c r="A24" t="s">
        <v>10</v>
      </c>
      <c r="B24" t="s">
        <v>35</v>
      </c>
      <c r="C24" t="s">
        <v>36</v>
      </c>
      <c r="D24">
        <v>420</v>
      </c>
      <c r="E24">
        <v>0.71799999999999997</v>
      </c>
      <c r="F24">
        <v>31.4</v>
      </c>
      <c r="G24">
        <v>34.299999999999997</v>
      </c>
      <c r="H24">
        <v>29.3</v>
      </c>
      <c r="I24">
        <v>30.7</v>
      </c>
      <c r="J24">
        <v>52.2</v>
      </c>
      <c r="K24">
        <f t="shared" si="0"/>
        <v>31.799999999999997</v>
      </c>
      <c r="L24" t="str">
        <f t="shared" si="1"/>
        <v>NS1</v>
      </c>
    </row>
    <row r="25" spans="1:12" x14ac:dyDescent="0.35">
      <c r="A25" t="s">
        <v>10</v>
      </c>
      <c r="B25" t="s">
        <v>35</v>
      </c>
      <c r="C25" t="s">
        <v>37</v>
      </c>
      <c r="D25">
        <v>375</v>
      </c>
      <c r="E25">
        <v>0.755</v>
      </c>
      <c r="F25">
        <v>33.9</v>
      </c>
      <c r="G25">
        <v>34.4</v>
      </c>
      <c r="H25">
        <v>33.6</v>
      </c>
      <c r="I25">
        <v>33.6</v>
      </c>
      <c r="J25">
        <v>44.4</v>
      </c>
      <c r="K25">
        <f t="shared" si="0"/>
        <v>34</v>
      </c>
      <c r="L25" t="str">
        <f t="shared" si="1"/>
        <v>NS2</v>
      </c>
    </row>
    <row r="26" spans="1:12" x14ac:dyDescent="0.35">
      <c r="A26" t="s">
        <v>10</v>
      </c>
      <c r="B26" t="s">
        <v>35</v>
      </c>
      <c r="C26" t="s">
        <v>38</v>
      </c>
      <c r="D26">
        <v>1176</v>
      </c>
      <c r="E26">
        <v>0.69399999999999995</v>
      </c>
      <c r="F26">
        <v>37.200000000000003</v>
      </c>
      <c r="G26">
        <v>48.7</v>
      </c>
      <c r="H26">
        <v>34.200000000000003</v>
      </c>
      <c r="I26">
        <v>28.8</v>
      </c>
      <c r="J26">
        <v>46</v>
      </c>
      <c r="K26">
        <f t="shared" si="0"/>
        <v>41.45</v>
      </c>
      <c r="L26" t="str">
        <f t="shared" si="1"/>
        <v>N</v>
      </c>
    </row>
    <row r="27" spans="1:12" x14ac:dyDescent="0.35">
      <c r="A27" t="s">
        <v>10</v>
      </c>
      <c r="B27" t="s">
        <v>35</v>
      </c>
      <c r="C27" t="s">
        <v>39</v>
      </c>
      <c r="D27">
        <v>726</v>
      </c>
      <c r="E27">
        <v>0.72799999999999998</v>
      </c>
      <c r="F27">
        <v>36.200000000000003</v>
      </c>
      <c r="G27">
        <v>43.8</v>
      </c>
      <c r="H27">
        <v>36</v>
      </c>
      <c r="I27">
        <v>28.9</v>
      </c>
      <c r="J27">
        <v>47.3</v>
      </c>
      <c r="K27">
        <f t="shared" si="0"/>
        <v>39.9</v>
      </c>
      <c r="L27" t="str">
        <f t="shared" si="1"/>
        <v>P</v>
      </c>
    </row>
    <row r="28" spans="1:12" x14ac:dyDescent="0.35">
      <c r="A28" t="s">
        <v>10</v>
      </c>
      <c r="B28" t="s">
        <v>35</v>
      </c>
      <c r="C28" t="s">
        <v>40</v>
      </c>
      <c r="D28">
        <v>771</v>
      </c>
      <c r="E28">
        <v>0.69699999999999995</v>
      </c>
      <c r="F28">
        <v>36.4</v>
      </c>
      <c r="G28">
        <v>40.5</v>
      </c>
      <c r="H28">
        <v>36.200000000000003</v>
      </c>
      <c r="I28">
        <v>32.700000000000003</v>
      </c>
      <c r="J28">
        <v>39.6</v>
      </c>
      <c r="K28">
        <f t="shared" si="0"/>
        <v>38.35</v>
      </c>
      <c r="L28" t="str">
        <f t="shared" si="1"/>
        <v>M</v>
      </c>
    </row>
    <row r="29" spans="1:12" x14ac:dyDescent="0.35">
      <c r="A29" t="s">
        <v>10</v>
      </c>
      <c r="B29" t="s">
        <v>35</v>
      </c>
      <c r="C29" t="s">
        <v>41</v>
      </c>
      <c r="D29">
        <v>195</v>
      </c>
      <c r="E29">
        <v>0.67600000000000005</v>
      </c>
      <c r="F29">
        <v>31.8</v>
      </c>
      <c r="G29">
        <v>27.7</v>
      </c>
      <c r="H29">
        <v>30.8</v>
      </c>
      <c r="I29">
        <v>36.9</v>
      </c>
      <c r="J29">
        <v>36.5</v>
      </c>
      <c r="K29">
        <f t="shared" si="0"/>
        <v>29.25</v>
      </c>
      <c r="L29" t="str">
        <f t="shared" si="1"/>
        <v>SH</v>
      </c>
    </row>
    <row r="30" spans="1:12" x14ac:dyDescent="0.35">
      <c r="A30" t="s">
        <v>10</v>
      </c>
      <c r="B30" t="s">
        <v>35</v>
      </c>
      <c r="C30" t="s">
        <v>42</v>
      </c>
      <c r="D30">
        <v>897</v>
      </c>
      <c r="E30">
        <v>0.74299999999999999</v>
      </c>
      <c r="F30">
        <v>41.9</v>
      </c>
      <c r="G30">
        <v>36.1</v>
      </c>
      <c r="H30">
        <v>45.8</v>
      </c>
      <c r="I30">
        <v>43.8</v>
      </c>
      <c r="J30">
        <v>50.3</v>
      </c>
      <c r="K30">
        <f t="shared" si="0"/>
        <v>40.950000000000003</v>
      </c>
      <c r="L30" t="str">
        <f t="shared" si="1"/>
        <v>G</v>
      </c>
    </row>
    <row r="31" spans="1:12" x14ac:dyDescent="0.35">
      <c r="A31" t="s">
        <v>10</v>
      </c>
      <c r="B31" t="s">
        <v>35</v>
      </c>
      <c r="C31" t="s">
        <v>43</v>
      </c>
      <c r="D31">
        <v>1725</v>
      </c>
      <c r="E31">
        <v>0.69</v>
      </c>
      <c r="F31">
        <v>34.6</v>
      </c>
      <c r="G31">
        <v>37.200000000000003</v>
      </c>
      <c r="H31">
        <v>36.700000000000003</v>
      </c>
      <c r="I31">
        <v>29.9</v>
      </c>
      <c r="J31">
        <v>45.8</v>
      </c>
      <c r="K31">
        <f t="shared" si="0"/>
        <v>36.950000000000003</v>
      </c>
      <c r="L31" t="str">
        <f t="shared" si="1"/>
        <v>F</v>
      </c>
    </row>
    <row r="32" spans="1:12" x14ac:dyDescent="0.35">
      <c r="A32" t="s">
        <v>10</v>
      </c>
      <c r="B32" t="s">
        <v>35</v>
      </c>
      <c r="C32" t="s">
        <v>44</v>
      </c>
      <c r="D32">
        <v>585</v>
      </c>
      <c r="E32">
        <v>0.73299999999999998</v>
      </c>
      <c r="F32">
        <v>35.200000000000003</v>
      </c>
      <c r="G32">
        <v>39</v>
      </c>
      <c r="H32">
        <v>34.4</v>
      </c>
      <c r="I32">
        <v>32.299999999999997</v>
      </c>
      <c r="J32">
        <v>44</v>
      </c>
      <c r="K32">
        <f t="shared" si="0"/>
        <v>36.700000000000003</v>
      </c>
      <c r="L32" t="str">
        <f t="shared" si="1"/>
        <v>M2-1</v>
      </c>
    </row>
    <row r="33" spans="1:12" x14ac:dyDescent="0.35">
      <c r="A33" t="s">
        <v>10</v>
      </c>
      <c r="B33" t="s">
        <v>35</v>
      </c>
      <c r="C33" t="s">
        <v>45</v>
      </c>
      <c r="D33">
        <v>267</v>
      </c>
      <c r="E33">
        <v>0.65800000000000003</v>
      </c>
      <c r="F33">
        <v>27.7</v>
      </c>
      <c r="G33">
        <v>33.700000000000003</v>
      </c>
      <c r="H33">
        <v>28.1</v>
      </c>
      <c r="I33">
        <v>21.3</v>
      </c>
      <c r="J33">
        <v>44</v>
      </c>
      <c r="K33">
        <f t="shared" si="0"/>
        <v>30.900000000000002</v>
      </c>
      <c r="L33" t="str">
        <f t="shared" si="1"/>
        <v>M2-2</v>
      </c>
    </row>
    <row r="34" spans="1:12" x14ac:dyDescent="0.35">
      <c r="A34" t="s">
        <v>10</v>
      </c>
      <c r="B34" t="s">
        <v>35</v>
      </c>
      <c r="C34" t="s">
        <v>46</v>
      </c>
      <c r="D34">
        <v>6498</v>
      </c>
      <c r="E34">
        <v>0.69499999999999995</v>
      </c>
      <c r="F34">
        <v>30.7</v>
      </c>
      <c r="G34">
        <v>36</v>
      </c>
      <c r="H34">
        <v>30.7</v>
      </c>
      <c r="I34">
        <v>25.5</v>
      </c>
      <c r="J34">
        <v>41.2</v>
      </c>
      <c r="K34">
        <f t="shared" si="0"/>
        <v>33.35</v>
      </c>
      <c r="L34" t="str">
        <f t="shared" si="1"/>
        <v>L</v>
      </c>
    </row>
    <row r="35" spans="1:12" x14ac:dyDescent="0.35">
      <c r="A35" t="s">
        <v>10</v>
      </c>
      <c r="B35" t="s">
        <v>47</v>
      </c>
      <c r="C35" t="s">
        <v>12</v>
      </c>
      <c r="D35">
        <v>420</v>
      </c>
      <c r="E35">
        <v>0.70399999999999996</v>
      </c>
      <c r="F35">
        <v>30.2</v>
      </c>
      <c r="G35">
        <v>35</v>
      </c>
      <c r="H35">
        <v>29.3</v>
      </c>
      <c r="I35">
        <v>26.4</v>
      </c>
      <c r="J35">
        <v>47.6</v>
      </c>
      <c r="K35">
        <f t="shared" si="0"/>
        <v>32.15</v>
      </c>
      <c r="L35" t="str">
        <f t="shared" si="1"/>
        <v>NS1</v>
      </c>
    </row>
    <row r="36" spans="1:12" x14ac:dyDescent="0.35">
      <c r="A36" t="s">
        <v>10</v>
      </c>
      <c r="B36" t="s">
        <v>47</v>
      </c>
      <c r="C36" t="s">
        <v>13</v>
      </c>
      <c r="D36">
        <v>375</v>
      </c>
      <c r="E36">
        <v>0.76300000000000001</v>
      </c>
      <c r="F36">
        <v>34.1</v>
      </c>
      <c r="G36">
        <v>34.4</v>
      </c>
      <c r="H36">
        <v>32</v>
      </c>
      <c r="I36">
        <v>36</v>
      </c>
      <c r="J36">
        <v>42</v>
      </c>
      <c r="K36">
        <f t="shared" si="0"/>
        <v>33.200000000000003</v>
      </c>
      <c r="L36" t="str">
        <f t="shared" si="1"/>
        <v>NS2</v>
      </c>
    </row>
    <row r="37" spans="1:12" x14ac:dyDescent="0.35">
      <c r="A37" t="s">
        <v>10</v>
      </c>
      <c r="B37" t="s">
        <v>47</v>
      </c>
      <c r="C37" t="s">
        <v>14</v>
      </c>
      <c r="D37">
        <v>1176</v>
      </c>
      <c r="E37">
        <v>0.69899999999999995</v>
      </c>
      <c r="F37">
        <v>37.1</v>
      </c>
      <c r="G37">
        <v>48</v>
      </c>
      <c r="H37">
        <v>33.9</v>
      </c>
      <c r="I37">
        <v>29.3</v>
      </c>
      <c r="J37">
        <v>45.4</v>
      </c>
      <c r="K37">
        <f t="shared" si="0"/>
        <v>40.950000000000003</v>
      </c>
      <c r="L37" t="str">
        <f t="shared" si="1"/>
        <v>N</v>
      </c>
    </row>
    <row r="38" spans="1:12" x14ac:dyDescent="0.35">
      <c r="A38" t="s">
        <v>10</v>
      </c>
      <c r="B38" t="s">
        <v>47</v>
      </c>
      <c r="C38" t="s">
        <v>15</v>
      </c>
      <c r="D38">
        <v>726</v>
      </c>
      <c r="E38">
        <v>0.71899999999999997</v>
      </c>
      <c r="F38">
        <v>36</v>
      </c>
      <c r="G38">
        <v>44.6</v>
      </c>
      <c r="H38">
        <v>35.1</v>
      </c>
      <c r="I38">
        <v>28.1</v>
      </c>
      <c r="J38">
        <v>44.6</v>
      </c>
      <c r="K38">
        <f t="shared" si="0"/>
        <v>39.85</v>
      </c>
      <c r="L38" t="str">
        <f t="shared" si="1"/>
        <v>P</v>
      </c>
    </row>
    <row r="39" spans="1:12" x14ac:dyDescent="0.35">
      <c r="A39" t="s">
        <v>10</v>
      </c>
      <c r="B39" t="s">
        <v>47</v>
      </c>
      <c r="C39" t="s">
        <v>48</v>
      </c>
      <c r="D39">
        <v>771</v>
      </c>
      <c r="E39">
        <v>0.69699999999999995</v>
      </c>
      <c r="F39">
        <v>36.799999999999997</v>
      </c>
      <c r="G39">
        <v>41.2</v>
      </c>
      <c r="H39">
        <v>36.200000000000003</v>
      </c>
      <c r="I39">
        <v>33.1</v>
      </c>
      <c r="J39">
        <v>39.799999999999997</v>
      </c>
      <c r="K39">
        <f t="shared" si="0"/>
        <v>38.700000000000003</v>
      </c>
      <c r="L39" t="str">
        <f t="shared" si="1"/>
        <v>M</v>
      </c>
    </row>
    <row r="40" spans="1:12" x14ac:dyDescent="0.35">
      <c r="A40" t="s">
        <v>10</v>
      </c>
      <c r="B40" t="s">
        <v>47</v>
      </c>
      <c r="C40" t="s">
        <v>49</v>
      </c>
      <c r="D40">
        <v>195</v>
      </c>
      <c r="E40">
        <v>0.68400000000000005</v>
      </c>
      <c r="F40">
        <v>32.299999999999997</v>
      </c>
      <c r="G40">
        <v>26.2</v>
      </c>
      <c r="H40">
        <v>30.8</v>
      </c>
      <c r="I40">
        <v>40</v>
      </c>
      <c r="J40">
        <v>44.5</v>
      </c>
      <c r="K40">
        <f t="shared" si="0"/>
        <v>28.5</v>
      </c>
      <c r="L40" t="str">
        <f t="shared" si="1"/>
        <v>SH</v>
      </c>
    </row>
    <row r="41" spans="1:12" x14ac:dyDescent="0.35">
      <c r="A41" t="s">
        <v>10</v>
      </c>
      <c r="B41" t="s">
        <v>47</v>
      </c>
      <c r="C41" t="s">
        <v>50</v>
      </c>
      <c r="D41">
        <v>966</v>
      </c>
      <c r="E41">
        <v>0.74399999999999999</v>
      </c>
      <c r="F41">
        <v>43.4</v>
      </c>
      <c r="G41">
        <v>35.4</v>
      </c>
      <c r="H41">
        <v>49.4</v>
      </c>
      <c r="I41">
        <v>45.3</v>
      </c>
      <c r="J41">
        <v>48.6</v>
      </c>
      <c r="K41">
        <f t="shared" si="0"/>
        <v>42.4</v>
      </c>
      <c r="L41" t="str">
        <f t="shared" si="1"/>
        <v>G</v>
      </c>
    </row>
    <row r="42" spans="1:12" x14ac:dyDescent="0.35">
      <c r="A42" t="s">
        <v>10</v>
      </c>
      <c r="B42" t="s">
        <v>47</v>
      </c>
      <c r="C42" t="s">
        <v>51</v>
      </c>
      <c r="D42">
        <v>1725</v>
      </c>
      <c r="E42">
        <v>0.69</v>
      </c>
      <c r="F42">
        <v>35.1</v>
      </c>
      <c r="G42">
        <v>37.6</v>
      </c>
      <c r="H42">
        <v>37.700000000000003</v>
      </c>
      <c r="I42">
        <v>30.1</v>
      </c>
      <c r="J42">
        <v>45.8</v>
      </c>
      <c r="K42">
        <f t="shared" si="0"/>
        <v>37.650000000000006</v>
      </c>
      <c r="L42" t="str">
        <f t="shared" si="1"/>
        <v>F</v>
      </c>
    </row>
    <row r="43" spans="1:12" x14ac:dyDescent="0.35">
      <c r="A43" t="s">
        <v>10</v>
      </c>
      <c r="B43" t="s">
        <v>47</v>
      </c>
      <c r="C43" t="s">
        <v>52</v>
      </c>
      <c r="D43">
        <v>585</v>
      </c>
      <c r="E43">
        <v>0.73099999999999998</v>
      </c>
      <c r="F43">
        <v>36.4</v>
      </c>
      <c r="G43">
        <v>39</v>
      </c>
      <c r="H43">
        <v>34.9</v>
      </c>
      <c r="I43">
        <v>35.4</v>
      </c>
      <c r="J43">
        <v>48</v>
      </c>
      <c r="K43">
        <f t="shared" si="0"/>
        <v>36.950000000000003</v>
      </c>
      <c r="L43" t="str">
        <f t="shared" si="1"/>
        <v>M2-1</v>
      </c>
    </row>
    <row r="44" spans="1:12" x14ac:dyDescent="0.35">
      <c r="A44" t="s">
        <v>10</v>
      </c>
      <c r="B44" t="s">
        <v>47</v>
      </c>
      <c r="C44" t="s">
        <v>53</v>
      </c>
      <c r="D44">
        <v>267</v>
      </c>
      <c r="E44">
        <v>0.63800000000000001</v>
      </c>
      <c r="F44">
        <v>28.8</v>
      </c>
      <c r="G44">
        <v>36</v>
      </c>
      <c r="H44">
        <v>27</v>
      </c>
      <c r="I44">
        <v>23.6</v>
      </c>
      <c r="J44">
        <v>44.2</v>
      </c>
      <c r="K44">
        <f t="shared" si="0"/>
        <v>31.5</v>
      </c>
      <c r="L44" t="str">
        <f t="shared" si="1"/>
        <v>M2-2</v>
      </c>
    </row>
    <row r="45" spans="1:12" x14ac:dyDescent="0.35">
      <c r="A45" t="s">
        <v>10</v>
      </c>
      <c r="B45" t="s">
        <v>47</v>
      </c>
      <c r="C45" t="s">
        <v>54</v>
      </c>
      <c r="D45">
        <v>6498</v>
      </c>
      <c r="E45">
        <v>0.69299999999999995</v>
      </c>
      <c r="F45">
        <v>31</v>
      </c>
      <c r="G45">
        <v>36.1</v>
      </c>
      <c r="H45">
        <v>30.9</v>
      </c>
      <c r="I45">
        <v>26</v>
      </c>
      <c r="J45">
        <v>42</v>
      </c>
      <c r="K45">
        <f t="shared" si="0"/>
        <v>33.5</v>
      </c>
      <c r="L45" t="str">
        <f t="shared" si="1"/>
        <v>L</v>
      </c>
    </row>
    <row r="46" spans="1:12" x14ac:dyDescent="0.35">
      <c r="A46" t="s">
        <v>10</v>
      </c>
      <c r="B46" t="s">
        <v>55</v>
      </c>
      <c r="C46" t="s">
        <v>56</v>
      </c>
      <c r="D46">
        <v>420</v>
      </c>
      <c r="E46">
        <v>0.70599999999999996</v>
      </c>
      <c r="F46">
        <v>30.5</v>
      </c>
      <c r="G46">
        <v>35</v>
      </c>
      <c r="H46">
        <v>29.3</v>
      </c>
      <c r="I46">
        <v>27.1</v>
      </c>
      <c r="J46">
        <v>48.1</v>
      </c>
      <c r="K46">
        <f t="shared" si="0"/>
        <v>32.15</v>
      </c>
      <c r="L46" t="str">
        <f t="shared" si="1"/>
        <v>NS1</v>
      </c>
    </row>
    <row r="47" spans="1:12" x14ac:dyDescent="0.35">
      <c r="A47" t="s">
        <v>10</v>
      </c>
      <c r="B47" t="s">
        <v>55</v>
      </c>
      <c r="C47" t="s">
        <v>57</v>
      </c>
      <c r="D47">
        <v>375</v>
      </c>
      <c r="E47">
        <v>0.75600000000000001</v>
      </c>
      <c r="F47">
        <v>33.9</v>
      </c>
      <c r="G47">
        <v>34.4</v>
      </c>
      <c r="H47">
        <v>32</v>
      </c>
      <c r="I47">
        <v>35.200000000000003</v>
      </c>
      <c r="J47">
        <v>41.5</v>
      </c>
      <c r="K47">
        <f t="shared" si="0"/>
        <v>33.200000000000003</v>
      </c>
      <c r="L47" t="str">
        <f t="shared" si="1"/>
        <v>NS2</v>
      </c>
    </row>
    <row r="48" spans="1:12" x14ac:dyDescent="0.35">
      <c r="A48" t="s">
        <v>10</v>
      </c>
      <c r="B48" t="s">
        <v>55</v>
      </c>
      <c r="C48" t="s">
        <v>58</v>
      </c>
      <c r="D48">
        <v>1176</v>
      </c>
      <c r="E48">
        <v>0.69899999999999995</v>
      </c>
      <c r="F48">
        <v>36.700000000000003</v>
      </c>
      <c r="G48">
        <v>47.7</v>
      </c>
      <c r="H48">
        <v>33.9</v>
      </c>
      <c r="I48">
        <v>28.6</v>
      </c>
      <c r="J48">
        <v>45.8</v>
      </c>
      <c r="K48">
        <f t="shared" si="0"/>
        <v>40.799999999999997</v>
      </c>
      <c r="L48" t="str">
        <f t="shared" si="1"/>
        <v>N</v>
      </c>
    </row>
    <row r="49" spans="1:12" x14ac:dyDescent="0.35">
      <c r="A49" t="s">
        <v>10</v>
      </c>
      <c r="B49" t="s">
        <v>55</v>
      </c>
      <c r="C49" t="s">
        <v>59</v>
      </c>
      <c r="D49">
        <v>726</v>
      </c>
      <c r="E49">
        <v>0.71599999999999997</v>
      </c>
      <c r="F49">
        <v>35.5</v>
      </c>
      <c r="G49">
        <v>44.6</v>
      </c>
      <c r="H49">
        <v>34.700000000000003</v>
      </c>
      <c r="I49">
        <v>27.3</v>
      </c>
      <c r="J49">
        <v>44.6</v>
      </c>
      <c r="K49">
        <f t="shared" si="0"/>
        <v>39.650000000000006</v>
      </c>
      <c r="L49" t="str">
        <f t="shared" si="1"/>
        <v>P</v>
      </c>
    </row>
    <row r="50" spans="1:12" x14ac:dyDescent="0.35">
      <c r="A50" t="s">
        <v>10</v>
      </c>
      <c r="B50" t="s">
        <v>55</v>
      </c>
      <c r="C50" t="s">
        <v>16</v>
      </c>
      <c r="D50">
        <v>771</v>
      </c>
      <c r="E50">
        <v>0.69099999999999995</v>
      </c>
      <c r="F50">
        <v>36.200000000000003</v>
      </c>
      <c r="G50">
        <v>40.9</v>
      </c>
      <c r="H50">
        <v>36.200000000000003</v>
      </c>
      <c r="I50">
        <v>31.5</v>
      </c>
      <c r="J50">
        <v>39.4</v>
      </c>
      <c r="K50">
        <f t="shared" si="0"/>
        <v>38.549999999999997</v>
      </c>
      <c r="L50" t="str">
        <f t="shared" si="1"/>
        <v>M</v>
      </c>
    </row>
    <row r="51" spans="1:12" x14ac:dyDescent="0.35">
      <c r="A51" t="s">
        <v>10</v>
      </c>
      <c r="B51" t="s">
        <v>55</v>
      </c>
      <c r="C51" t="s">
        <v>17</v>
      </c>
      <c r="D51">
        <v>195</v>
      </c>
      <c r="E51">
        <v>0.69099999999999995</v>
      </c>
      <c r="F51">
        <v>31.3</v>
      </c>
      <c r="G51">
        <v>24.6</v>
      </c>
      <c r="H51">
        <v>30.8</v>
      </c>
      <c r="I51">
        <v>38.5</v>
      </c>
      <c r="J51">
        <v>60.4</v>
      </c>
      <c r="K51">
        <f t="shared" si="0"/>
        <v>27.700000000000003</v>
      </c>
      <c r="L51" t="str">
        <f t="shared" si="1"/>
        <v>SH</v>
      </c>
    </row>
    <row r="52" spans="1:12" x14ac:dyDescent="0.35">
      <c r="A52" t="s">
        <v>10</v>
      </c>
      <c r="B52" t="s">
        <v>55</v>
      </c>
      <c r="C52" t="s">
        <v>60</v>
      </c>
      <c r="D52">
        <v>966</v>
      </c>
      <c r="E52">
        <v>0.746</v>
      </c>
      <c r="F52">
        <v>42.9</v>
      </c>
      <c r="G52">
        <v>35.4</v>
      </c>
      <c r="H52">
        <v>47.8</v>
      </c>
      <c r="I52">
        <v>45.3</v>
      </c>
      <c r="J52">
        <v>49.9</v>
      </c>
      <c r="K52">
        <f t="shared" si="0"/>
        <v>41.599999999999994</v>
      </c>
      <c r="L52" t="str">
        <f t="shared" si="1"/>
        <v>G</v>
      </c>
    </row>
    <row r="53" spans="1:12" x14ac:dyDescent="0.35">
      <c r="A53" t="s">
        <v>10</v>
      </c>
      <c r="B53" t="s">
        <v>55</v>
      </c>
      <c r="C53" t="s">
        <v>61</v>
      </c>
      <c r="D53">
        <v>1725</v>
      </c>
      <c r="E53">
        <v>0.68899999999999995</v>
      </c>
      <c r="F53">
        <v>35.200000000000003</v>
      </c>
      <c r="G53">
        <v>37.6</v>
      </c>
      <c r="H53">
        <v>37.4</v>
      </c>
      <c r="I53">
        <v>30.6</v>
      </c>
      <c r="J53">
        <v>46</v>
      </c>
      <c r="K53">
        <f t="shared" si="0"/>
        <v>37.5</v>
      </c>
      <c r="L53" t="str">
        <f t="shared" si="1"/>
        <v>F</v>
      </c>
    </row>
    <row r="54" spans="1:12" x14ac:dyDescent="0.35">
      <c r="A54" t="s">
        <v>10</v>
      </c>
      <c r="B54" t="s">
        <v>55</v>
      </c>
      <c r="C54" t="s">
        <v>62</v>
      </c>
      <c r="D54">
        <v>585</v>
      </c>
      <c r="E54">
        <v>0.73</v>
      </c>
      <c r="F54">
        <v>36.4</v>
      </c>
      <c r="G54">
        <v>39</v>
      </c>
      <c r="H54">
        <v>34.9</v>
      </c>
      <c r="I54">
        <v>35.4</v>
      </c>
      <c r="J54">
        <v>50</v>
      </c>
      <c r="K54">
        <f t="shared" si="0"/>
        <v>36.950000000000003</v>
      </c>
      <c r="L54" t="str">
        <f t="shared" si="1"/>
        <v>M2-1</v>
      </c>
    </row>
    <row r="55" spans="1:12" x14ac:dyDescent="0.35">
      <c r="A55" t="s">
        <v>10</v>
      </c>
      <c r="B55" t="s">
        <v>55</v>
      </c>
      <c r="C55" t="s">
        <v>63</v>
      </c>
      <c r="D55">
        <v>267</v>
      </c>
      <c r="E55">
        <v>0.63200000000000001</v>
      </c>
      <c r="F55">
        <v>28.8</v>
      </c>
      <c r="G55">
        <v>37.1</v>
      </c>
      <c r="H55">
        <v>27</v>
      </c>
      <c r="I55">
        <v>22.5</v>
      </c>
      <c r="J55">
        <v>44.8</v>
      </c>
      <c r="K55">
        <f t="shared" si="0"/>
        <v>32.049999999999997</v>
      </c>
      <c r="L55" t="str">
        <f t="shared" si="1"/>
        <v>M2-2</v>
      </c>
    </row>
    <row r="56" spans="1:12" x14ac:dyDescent="0.35">
      <c r="A56" t="s">
        <v>10</v>
      </c>
      <c r="B56" t="s">
        <v>55</v>
      </c>
      <c r="C56" t="s">
        <v>64</v>
      </c>
      <c r="D56">
        <v>6498</v>
      </c>
      <c r="E56">
        <v>0.69</v>
      </c>
      <c r="F56">
        <v>30.7</v>
      </c>
      <c r="G56">
        <v>35.9</v>
      </c>
      <c r="H56">
        <v>30.9</v>
      </c>
      <c r="I56">
        <v>25.3</v>
      </c>
      <c r="J56">
        <v>41.2</v>
      </c>
      <c r="K56">
        <f t="shared" si="0"/>
        <v>33.4</v>
      </c>
      <c r="L56" t="str">
        <f t="shared" si="1"/>
        <v>L</v>
      </c>
    </row>
    <row r="57" spans="1:12" x14ac:dyDescent="0.35">
      <c r="A57" t="s">
        <v>10</v>
      </c>
      <c r="B57" t="s">
        <v>65</v>
      </c>
      <c r="C57" t="s">
        <v>36</v>
      </c>
      <c r="D57">
        <v>420</v>
      </c>
      <c r="E57">
        <v>0.70699999999999996</v>
      </c>
      <c r="F57">
        <v>30.7</v>
      </c>
      <c r="G57">
        <v>35</v>
      </c>
      <c r="H57">
        <v>29.3</v>
      </c>
      <c r="I57">
        <v>27.9</v>
      </c>
      <c r="J57">
        <v>48</v>
      </c>
      <c r="K57">
        <f t="shared" si="0"/>
        <v>32.15</v>
      </c>
      <c r="L57" t="str">
        <f t="shared" si="1"/>
        <v>NS1</v>
      </c>
    </row>
    <row r="58" spans="1:12" x14ac:dyDescent="0.35">
      <c r="A58" t="s">
        <v>10</v>
      </c>
      <c r="B58" t="s">
        <v>65</v>
      </c>
      <c r="C58" t="s">
        <v>66</v>
      </c>
      <c r="D58">
        <v>375</v>
      </c>
      <c r="E58">
        <v>0.76400000000000001</v>
      </c>
      <c r="F58">
        <v>33.9</v>
      </c>
      <c r="G58">
        <v>34.4</v>
      </c>
      <c r="H58">
        <v>32</v>
      </c>
      <c r="I58">
        <v>35.200000000000003</v>
      </c>
      <c r="J58">
        <v>41.8</v>
      </c>
      <c r="K58">
        <f t="shared" si="0"/>
        <v>33.200000000000003</v>
      </c>
      <c r="L58" t="str">
        <f t="shared" si="1"/>
        <v>NS2</v>
      </c>
    </row>
    <row r="59" spans="1:12" x14ac:dyDescent="0.35">
      <c r="A59" t="s">
        <v>10</v>
      </c>
      <c r="B59" t="s">
        <v>65</v>
      </c>
      <c r="C59" t="s">
        <v>67</v>
      </c>
      <c r="D59">
        <v>1176</v>
      </c>
      <c r="E59">
        <v>0.7</v>
      </c>
      <c r="F59">
        <v>36.799999999999997</v>
      </c>
      <c r="G59">
        <v>48</v>
      </c>
      <c r="H59">
        <v>33.9</v>
      </c>
      <c r="I59">
        <v>28.6</v>
      </c>
      <c r="J59">
        <v>45.5</v>
      </c>
      <c r="K59">
        <f t="shared" si="0"/>
        <v>40.950000000000003</v>
      </c>
      <c r="L59" t="str">
        <f t="shared" si="1"/>
        <v>N</v>
      </c>
    </row>
    <row r="60" spans="1:12" x14ac:dyDescent="0.35">
      <c r="A60" t="s">
        <v>10</v>
      </c>
      <c r="B60" t="s">
        <v>65</v>
      </c>
      <c r="C60" t="s">
        <v>68</v>
      </c>
      <c r="D60">
        <v>726</v>
      </c>
      <c r="E60">
        <v>0.71299999999999997</v>
      </c>
      <c r="F60">
        <v>35.4</v>
      </c>
      <c r="G60">
        <v>44.6</v>
      </c>
      <c r="H60">
        <v>35.1</v>
      </c>
      <c r="I60">
        <v>26.4</v>
      </c>
      <c r="J60">
        <v>45.1</v>
      </c>
      <c r="K60">
        <f t="shared" si="0"/>
        <v>39.85</v>
      </c>
      <c r="L60" t="str">
        <f t="shared" si="1"/>
        <v>P</v>
      </c>
    </row>
    <row r="61" spans="1:12" x14ac:dyDescent="0.35">
      <c r="A61" t="s">
        <v>10</v>
      </c>
      <c r="B61" t="s">
        <v>65</v>
      </c>
      <c r="C61" t="s">
        <v>69</v>
      </c>
      <c r="D61">
        <v>771</v>
      </c>
      <c r="E61">
        <v>0.69499999999999995</v>
      </c>
      <c r="F61">
        <v>36.6</v>
      </c>
      <c r="G61">
        <v>40.9</v>
      </c>
      <c r="H61">
        <v>36.6</v>
      </c>
      <c r="I61">
        <v>32.299999999999997</v>
      </c>
      <c r="J61">
        <v>39.799999999999997</v>
      </c>
      <c r="K61">
        <f t="shared" si="0"/>
        <v>38.75</v>
      </c>
      <c r="L61" t="str">
        <f t="shared" si="1"/>
        <v>M</v>
      </c>
    </row>
    <row r="62" spans="1:12" x14ac:dyDescent="0.35">
      <c r="A62" t="s">
        <v>10</v>
      </c>
      <c r="B62" t="s">
        <v>65</v>
      </c>
      <c r="C62" t="s">
        <v>70</v>
      </c>
      <c r="D62">
        <v>195</v>
      </c>
      <c r="E62">
        <v>0.68300000000000005</v>
      </c>
      <c r="F62">
        <v>32.299999999999997</v>
      </c>
      <c r="G62">
        <v>26.2</v>
      </c>
      <c r="H62">
        <v>30.8</v>
      </c>
      <c r="I62">
        <v>40</v>
      </c>
      <c r="J62">
        <v>49.9</v>
      </c>
      <c r="K62">
        <f t="shared" si="0"/>
        <v>28.5</v>
      </c>
      <c r="L62" t="str">
        <f t="shared" si="1"/>
        <v>SH</v>
      </c>
    </row>
    <row r="63" spans="1:12" x14ac:dyDescent="0.35">
      <c r="A63" t="s">
        <v>10</v>
      </c>
      <c r="B63" t="s">
        <v>65</v>
      </c>
      <c r="C63" t="s">
        <v>71</v>
      </c>
      <c r="D63">
        <v>894</v>
      </c>
      <c r="E63">
        <v>0.754</v>
      </c>
      <c r="F63">
        <v>42.4</v>
      </c>
      <c r="G63">
        <v>33.9</v>
      </c>
      <c r="H63">
        <v>48.7</v>
      </c>
      <c r="I63">
        <v>44.6</v>
      </c>
      <c r="J63">
        <v>48.9</v>
      </c>
      <c r="K63">
        <f t="shared" si="0"/>
        <v>41.3</v>
      </c>
      <c r="L63" t="str">
        <f t="shared" si="1"/>
        <v>G</v>
      </c>
    </row>
    <row r="64" spans="1:12" x14ac:dyDescent="0.35">
      <c r="A64" t="s">
        <v>10</v>
      </c>
      <c r="B64" t="s">
        <v>65</v>
      </c>
      <c r="C64" t="s">
        <v>72</v>
      </c>
      <c r="D64">
        <v>1725</v>
      </c>
      <c r="E64">
        <v>0.69299999999999995</v>
      </c>
      <c r="F64">
        <v>35.299999999999997</v>
      </c>
      <c r="G64">
        <v>37.200000000000003</v>
      </c>
      <c r="H64">
        <v>37.6</v>
      </c>
      <c r="I64">
        <v>31.1</v>
      </c>
      <c r="J64">
        <v>46.2</v>
      </c>
      <c r="K64">
        <f t="shared" si="0"/>
        <v>37.400000000000006</v>
      </c>
      <c r="L64" t="str">
        <f t="shared" si="1"/>
        <v>F</v>
      </c>
    </row>
    <row r="65" spans="1:12" x14ac:dyDescent="0.35">
      <c r="A65" t="s">
        <v>10</v>
      </c>
      <c r="B65" t="s">
        <v>65</v>
      </c>
      <c r="C65" t="s">
        <v>73</v>
      </c>
      <c r="D65">
        <v>585</v>
      </c>
      <c r="E65">
        <v>0.73099999999999998</v>
      </c>
      <c r="F65">
        <v>36.6</v>
      </c>
      <c r="G65">
        <v>39</v>
      </c>
      <c r="H65">
        <v>34.9</v>
      </c>
      <c r="I65">
        <v>35.9</v>
      </c>
      <c r="J65">
        <v>49.2</v>
      </c>
      <c r="K65">
        <f t="shared" si="0"/>
        <v>36.950000000000003</v>
      </c>
      <c r="L65" t="str">
        <f t="shared" si="1"/>
        <v>M2-1</v>
      </c>
    </row>
    <row r="66" spans="1:12" x14ac:dyDescent="0.35">
      <c r="A66" t="s">
        <v>10</v>
      </c>
      <c r="B66" t="s">
        <v>65</v>
      </c>
      <c r="C66" t="s">
        <v>74</v>
      </c>
      <c r="D66">
        <v>267</v>
      </c>
      <c r="E66">
        <v>0.63800000000000001</v>
      </c>
      <c r="F66">
        <v>29.2</v>
      </c>
      <c r="G66">
        <v>36</v>
      </c>
      <c r="H66">
        <v>27</v>
      </c>
      <c r="I66">
        <v>24.7</v>
      </c>
      <c r="J66">
        <v>44.2</v>
      </c>
      <c r="K66">
        <f t="shared" si="0"/>
        <v>31.5</v>
      </c>
      <c r="L66" t="str">
        <f t="shared" si="1"/>
        <v>M2-2</v>
      </c>
    </row>
    <row r="67" spans="1:12" x14ac:dyDescent="0.35">
      <c r="A67" t="s">
        <v>10</v>
      </c>
      <c r="B67" t="s">
        <v>65</v>
      </c>
      <c r="C67" t="s">
        <v>75</v>
      </c>
      <c r="D67">
        <v>6498</v>
      </c>
      <c r="E67">
        <v>0.69199999999999995</v>
      </c>
      <c r="F67">
        <v>30.7</v>
      </c>
      <c r="G67">
        <v>35.9</v>
      </c>
      <c r="H67">
        <v>30.9</v>
      </c>
      <c r="I67">
        <v>25.3</v>
      </c>
      <c r="J67">
        <v>41.2</v>
      </c>
      <c r="K67">
        <f t="shared" ref="K67:K130" si="2">(G67+H67)/2</f>
        <v>33.4</v>
      </c>
      <c r="L67" t="str">
        <f t="shared" ref="L67:L130" si="3">IF(ISNUMBER(SEARCH("M2-1",C67)),"M2-1",IF(ISNUMBER(SEARCH("M2-2",C67)),"M2-2",IF(LEFT(C67,3)="NS1","NS1",IF(LEFT(C67,3)="NS2","NS2",IF(LEFT(C67,2)="N_","N",IF(LEFT(C67,2)="P_","P",IF(LEFT(C67,2)="M_","M",IF(LEFT(C67,2)="SH","SH",IF(LEFT(C67,2)="G_","G",IF(LEFT(C67,2)="F_","F",IF(LEFT(C67,2)="L_","L","UNKNOWN")))))))))))</f>
        <v>L</v>
      </c>
    </row>
    <row r="68" spans="1:12" x14ac:dyDescent="0.35">
      <c r="A68" t="s">
        <v>10</v>
      </c>
      <c r="B68" t="s">
        <v>76</v>
      </c>
      <c r="C68" t="s">
        <v>77</v>
      </c>
      <c r="D68">
        <v>420</v>
      </c>
      <c r="E68">
        <v>0.70599999999999996</v>
      </c>
      <c r="F68">
        <v>30.5</v>
      </c>
      <c r="G68">
        <v>35</v>
      </c>
      <c r="H68">
        <v>29.3</v>
      </c>
      <c r="I68">
        <v>27.1</v>
      </c>
      <c r="J68">
        <v>48.1</v>
      </c>
      <c r="K68">
        <f t="shared" si="2"/>
        <v>32.15</v>
      </c>
      <c r="L68" t="str">
        <f t="shared" si="3"/>
        <v>NS1</v>
      </c>
    </row>
    <row r="69" spans="1:12" x14ac:dyDescent="0.35">
      <c r="A69" t="s">
        <v>10</v>
      </c>
      <c r="B69" t="s">
        <v>76</v>
      </c>
      <c r="C69" t="s">
        <v>78</v>
      </c>
      <c r="D69">
        <v>375</v>
      </c>
      <c r="E69">
        <v>0.75800000000000001</v>
      </c>
      <c r="F69">
        <v>34.1</v>
      </c>
      <c r="G69">
        <v>34.4</v>
      </c>
      <c r="H69">
        <v>32</v>
      </c>
      <c r="I69">
        <v>36</v>
      </c>
      <c r="J69">
        <v>41.8</v>
      </c>
      <c r="K69">
        <f t="shared" si="2"/>
        <v>33.200000000000003</v>
      </c>
      <c r="L69" t="str">
        <f t="shared" si="3"/>
        <v>NS2</v>
      </c>
    </row>
    <row r="70" spans="1:12" x14ac:dyDescent="0.35">
      <c r="A70" t="s">
        <v>10</v>
      </c>
      <c r="B70" t="s">
        <v>76</v>
      </c>
      <c r="C70" t="s">
        <v>79</v>
      </c>
      <c r="D70">
        <v>1176</v>
      </c>
      <c r="E70">
        <v>0.69899999999999995</v>
      </c>
      <c r="F70">
        <v>36.700000000000003</v>
      </c>
      <c r="G70">
        <v>47.7</v>
      </c>
      <c r="H70">
        <v>33.9</v>
      </c>
      <c r="I70">
        <v>28.6</v>
      </c>
      <c r="J70">
        <v>45.5</v>
      </c>
      <c r="K70">
        <f t="shared" si="2"/>
        <v>40.799999999999997</v>
      </c>
      <c r="L70" t="str">
        <f t="shared" si="3"/>
        <v>N</v>
      </c>
    </row>
    <row r="71" spans="1:12" x14ac:dyDescent="0.35">
      <c r="A71" t="s">
        <v>10</v>
      </c>
      <c r="B71" t="s">
        <v>76</v>
      </c>
      <c r="C71" t="s">
        <v>15</v>
      </c>
      <c r="D71">
        <v>726</v>
      </c>
      <c r="E71">
        <v>0.71499999999999997</v>
      </c>
      <c r="F71">
        <v>35.799999999999997</v>
      </c>
      <c r="G71">
        <v>44.6</v>
      </c>
      <c r="H71">
        <v>35.1</v>
      </c>
      <c r="I71">
        <v>27.7</v>
      </c>
      <c r="J71">
        <v>45.1</v>
      </c>
      <c r="K71">
        <f t="shared" si="2"/>
        <v>39.85</v>
      </c>
      <c r="L71" t="str">
        <f t="shared" si="3"/>
        <v>P</v>
      </c>
    </row>
    <row r="72" spans="1:12" x14ac:dyDescent="0.35">
      <c r="A72" t="s">
        <v>10</v>
      </c>
      <c r="B72" t="s">
        <v>76</v>
      </c>
      <c r="C72" t="s">
        <v>16</v>
      </c>
      <c r="D72">
        <v>771</v>
      </c>
      <c r="E72">
        <v>0.69599999999999995</v>
      </c>
      <c r="F72">
        <v>36.6</v>
      </c>
      <c r="G72">
        <v>41.2</v>
      </c>
      <c r="H72">
        <v>36.200000000000003</v>
      </c>
      <c r="I72">
        <v>32.299999999999997</v>
      </c>
      <c r="J72">
        <v>39.799999999999997</v>
      </c>
      <c r="K72">
        <f t="shared" si="2"/>
        <v>38.700000000000003</v>
      </c>
      <c r="L72" t="str">
        <f t="shared" si="3"/>
        <v>M</v>
      </c>
    </row>
    <row r="73" spans="1:12" x14ac:dyDescent="0.35">
      <c r="A73" t="s">
        <v>10</v>
      </c>
      <c r="B73" t="s">
        <v>76</v>
      </c>
      <c r="C73" t="s">
        <v>17</v>
      </c>
      <c r="D73">
        <v>195</v>
      </c>
      <c r="E73">
        <v>0.68</v>
      </c>
      <c r="F73">
        <v>31.8</v>
      </c>
      <c r="G73">
        <v>26.2</v>
      </c>
      <c r="H73">
        <v>30.8</v>
      </c>
      <c r="I73">
        <v>38.5</v>
      </c>
      <c r="J73">
        <v>45.4</v>
      </c>
      <c r="K73">
        <f t="shared" si="2"/>
        <v>28.5</v>
      </c>
      <c r="L73" t="str">
        <f t="shared" si="3"/>
        <v>SH</v>
      </c>
    </row>
    <row r="74" spans="1:12" x14ac:dyDescent="0.35">
      <c r="A74" t="s">
        <v>10</v>
      </c>
      <c r="B74" t="s">
        <v>76</v>
      </c>
      <c r="C74" t="s">
        <v>80</v>
      </c>
      <c r="D74">
        <v>966</v>
      </c>
      <c r="E74">
        <v>0.754</v>
      </c>
      <c r="F74">
        <v>43.1</v>
      </c>
      <c r="G74">
        <v>35.1</v>
      </c>
      <c r="H74">
        <v>49.1</v>
      </c>
      <c r="I74">
        <v>45</v>
      </c>
      <c r="J74">
        <v>49.3</v>
      </c>
      <c r="K74">
        <f t="shared" si="2"/>
        <v>42.1</v>
      </c>
      <c r="L74" t="str">
        <f t="shared" si="3"/>
        <v>G</v>
      </c>
    </row>
    <row r="75" spans="1:12" x14ac:dyDescent="0.35">
      <c r="A75" t="s">
        <v>10</v>
      </c>
      <c r="B75" t="s">
        <v>76</v>
      </c>
      <c r="C75" t="s">
        <v>81</v>
      </c>
      <c r="D75">
        <v>1725</v>
      </c>
      <c r="E75">
        <v>0.69199999999999995</v>
      </c>
      <c r="F75">
        <v>35.4</v>
      </c>
      <c r="G75">
        <v>37.6</v>
      </c>
      <c r="H75">
        <v>37.6</v>
      </c>
      <c r="I75">
        <v>31.1</v>
      </c>
      <c r="J75">
        <v>46.2</v>
      </c>
      <c r="K75">
        <f t="shared" si="2"/>
        <v>37.6</v>
      </c>
      <c r="L75" t="str">
        <f t="shared" si="3"/>
        <v>F</v>
      </c>
    </row>
    <row r="76" spans="1:12" x14ac:dyDescent="0.35">
      <c r="A76" t="s">
        <v>10</v>
      </c>
      <c r="B76" t="s">
        <v>76</v>
      </c>
      <c r="C76" t="s">
        <v>82</v>
      </c>
      <c r="D76">
        <v>585</v>
      </c>
      <c r="E76">
        <v>0.73099999999999998</v>
      </c>
      <c r="F76">
        <v>36.4</v>
      </c>
      <c r="G76">
        <v>39</v>
      </c>
      <c r="H76">
        <v>34.9</v>
      </c>
      <c r="I76">
        <v>35.4</v>
      </c>
      <c r="J76">
        <v>48</v>
      </c>
      <c r="K76">
        <f t="shared" si="2"/>
        <v>36.950000000000003</v>
      </c>
      <c r="L76" t="str">
        <f t="shared" si="3"/>
        <v>M2-1</v>
      </c>
    </row>
    <row r="77" spans="1:12" x14ac:dyDescent="0.35">
      <c r="A77" t="s">
        <v>10</v>
      </c>
      <c r="B77" t="s">
        <v>76</v>
      </c>
      <c r="C77" t="s">
        <v>83</v>
      </c>
      <c r="D77">
        <v>267</v>
      </c>
      <c r="E77">
        <v>0.63800000000000001</v>
      </c>
      <c r="F77">
        <v>28.8</v>
      </c>
      <c r="G77">
        <v>36</v>
      </c>
      <c r="H77">
        <v>27</v>
      </c>
      <c r="I77">
        <v>23.6</v>
      </c>
      <c r="J77">
        <v>44.2</v>
      </c>
      <c r="K77">
        <f t="shared" si="2"/>
        <v>31.5</v>
      </c>
      <c r="L77" t="str">
        <f t="shared" si="3"/>
        <v>M2-2</v>
      </c>
    </row>
    <row r="78" spans="1:12" x14ac:dyDescent="0.35">
      <c r="A78" t="s">
        <v>10</v>
      </c>
      <c r="B78" t="s">
        <v>76</v>
      </c>
      <c r="C78" t="s">
        <v>84</v>
      </c>
      <c r="D78">
        <v>6498</v>
      </c>
      <c r="E78">
        <v>0.69199999999999995</v>
      </c>
      <c r="F78">
        <v>30.7</v>
      </c>
      <c r="G78">
        <v>35.9</v>
      </c>
      <c r="H78">
        <v>30.9</v>
      </c>
      <c r="I78">
        <v>25.4</v>
      </c>
      <c r="J78">
        <v>41.3</v>
      </c>
      <c r="K78">
        <f t="shared" si="2"/>
        <v>33.4</v>
      </c>
      <c r="L78" t="str">
        <f t="shared" si="3"/>
        <v>L</v>
      </c>
    </row>
    <row r="79" spans="1:12" x14ac:dyDescent="0.35">
      <c r="A79" t="s">
        <v>10</v>
      </c>
      <c r="B79" t="s">
        <v>85</v>
      </c>
      <c r="C79" t="s">
        <v>12</v>
      </c>
      <c r="D79">
        <v>420</v>
      </c>
      <c r="E79">
        <v>0.7</v>
      </c>
      <c r="F79">
        <v>30.2</v>
      </c>
      <c r="G79">
        <v>35</v>
      </c>
      <c r="H79">
        <v>29.3</v>
      </c>
      <c r="I79">
        <v>26.4</v>
      </c>
      <c r="J79">
        <v>47.4</v>
      </c>
      <c r="K79">
        <f t="shared" si="2"/>
        <v>32.15</v>
      </c>
      <c r="L79" t="str">
        <f t="shared" si="3"/>
        <v>NS1</v>
      </c>
    </row>
    <row r="80" spans="1:12" x14ac:dyDescent="0.35">
      <c r="A80" t="s">
        <v>10</v>
      </c>
      <c r="B80" t="s">
        <v>85</v>
      </c>
      <c r="C80" t="s">
        <v>13</v>
      </c>
      <c r="D80">
        <v>375</v>
      </c>
      <c r="E80">
        <v>0.76500000000000001</v>
      </c>
      <c r="F80">
        <v>34.1</v>
      </c>
      <c r="G80">
        <v>34.4</v>
      </c>
      <c r="H80">
        <v>32</v>
      </c>
      <c r="I80">
        <v>36</v>
      </c>
      <c r="J80">
        <v>42.2</v>
      </c>
      <c r="K80">
        <f t="shared" si="2"/>
        <v>33.200000000000003</v>
      </c>
      <c r="L80" t="str">
        <f t="shared" si="3"/>
        <v>NS2</v>
      </c>
    </row>
    <row r="81" spans="1:12" x14ac:dyDescent="0.35">
      <c r="A81" t="s">
        <v>10</v>
      </c>
      <c r="B81" t="s">
        <v>85</v>
      </c>
      <c r="C81" t="s">
        <v>14</v>
      </c>
      <c r="D81">
        <v>1176</v>
      </c>
      <c r="E81">
        <v>0.7</v>
      </c>
      <c r="F81">
        <v>36.700000000000003</v>
      </c>
      <c r="G81">
        <v>47.7</v>
      </c>
      <c r="H81">
        <v>33.9</v>
      </c>
      <c r="I81">
        <v>28.6</v>
      </c>
      <c r="J81">
        <v>45</v>
      </c>
      <c r="K81">
        <f t="shared" si="2"/>
        <v>40.799999999999997</v>
      </c>
      <c r="L81" t="str">
        <f t="shared" si="3"/>
        <v>N</v>
      </c>
    </row>
    <row r="82" spans="1:12" x14ac:dyDescent="0.35">
      <c r="A82" t="s">
        <v>10</v>
      </c>
      <c r="B82" t="s">
        <v>85</v>
      </c>
      <c r="C82" t="s">
        <v>86</v>
      </c>
      <c r="D82">
        <v>726</v>
      </c>
      <c r="E82">
        <v>0.71499999999999997</v>
      </c>
      <c r="F82">
        <v>35.799999999999997</v>
      </c>
      <c r="G82">
        <v>44.6</v>
      </c>
      <c r="H82">
        <v>35.1</v>
      </c>
      <c r="I82">
        <v>27.7</v>
      </c>
      <c r="J82">
        <v>45.3</v>
      </c>
      <c r="K82">
        <f t="shared" si="2"/>
        <v>39.85</v>
      </c>
      <c r="L82" t="str">
        <f t="shared" si="3"/>
        <v>P</v>
      </c>
    </row>
    <row r="83" spans="1:12" x14ac:dyDescent="0.35">
      <c r="A83" t="s">
        <v>10</v>
      </c>
      <c r="B83" t="s">
        <v>85</v>
      </c>
      <c r="C83" t="s">
        <v>87</v>
      </c>
      <c r="D83">
        <v>771</v>
      </c>
      <c r="E83">
        <v>0.69499999999999995</v>
      </c>
      <c r="F83">
        <v>36.6</v>
      </c>
      <c r="G83">
        <v>41.2</v>
      </c>
      <c r="H83">
        <v>36.200000000000003</v>
      </c>
      <c r="I83">
        <v>32.299999999999997</v>
      </c>
      <c r="J83">
        <v>39.6</v>
      </c>
      <c r="K83">
        <f t="shared" si="2"/>
        <v>38.700000000000003</v>
      </c>
      <c r="L83" t="str">
        <f t="shared" si="3"/>
        <v>M</v>
      </c>
    </row>
    <row r="84" spans="1:12" x14ac:dyDescent="0.35">
      <c r="A84" t="s">
        <v>10</v>
      </c>
      <c r="B84" t="s">
        <v>85</v>
      </c>
      <c r="C84" t="s">
        <v>88</v>
      </c>
      <c r="D84">
        <v>195</v>
      </c>
      <c r="E84">
        <v>0.68600000000000005</v>
      </c>
      <c r="F84">
        <v>32.299999999999997</v>
      </c>
      <c r="G84">
        <v>26.2</v>
      </c>
      <c r="H84">
        <v>30.8</v>
      </c>
      <c r="I84">
        <v>40</v>
      </c>
      <c r="J84">
        <v>48.5</v>
      </c>
      <c r="K84">
        <f t="shared" si="2"/>
        <v>28.5</v>
      </c>
      <c r="L84" t="str">
        <f t="shared" si="3"/>
        <v>SH</v>
      </c>
    </row>
    <row r="85" spans="1:12" x14ac:dyDescent="0.35">
      <c r="A85" t="s">
        <v>10</v>
      </c>
      <c r="B85" t="s">
        <v>85</v>
      </c>
      <c r="C85" t="s">
        <v>18</v>
      </c>
      <c r="D85">
        <v>966</v>
      </c>
      <c r="E85">
        <v>0.748</v>
      </c>
      <c r="F85">
        <v>43.4</v>
      </c>
      <c r="G85">
        <v>35.4</v>
      </c>
      <c r="H85">
        <v>49.1</v>
      </c>
      <c r="I85">
        <v>45.7</v>
      </c>
      <c r="J85">
        <v>49.7</v>
      </c>
      <c r="K85">
        <f t="shared" si="2"/>
        <v>42.25</v>
      </c>
      <c r="L85" t="str">
        <f t="shared" si="3"/>
        <v>G</v>
      </c>
    </row>
    <row r="86" spans="1:12" x14ac:dyDescent="0.35">
      <c r="A86" t="s">
        <v>10</v>
      </c>
      <c r="B86" t="s">
        <v>85</v>
      </c>
      <c r="C86" t="s">
        <v>19</v>
      </c>
      <c r="D86">
        <v>1725</v>
      </c>
      <c r="E86">
        <v>0.68500000000000005</v>
      </c>
      <c r="F86">
        <v>35.5</v>
      </c>
      <c r="G86">
        <v>37.9</v>
      </c>
      <c r="H86">
        <v>37.6</v>
      </c>
      <c r="I86">
        <v>31</v>
      </c>
      <c r="J86">
        <v>46.6</v>
      </c>
      <c r="K86">
        <f t="shared" si="2"/>
        <v>37.75</v>
      </c>
      <c r="L86" t="str">
        <f t="shared" si="3"/>
        <v>F</v>
      </c>
    </row>
    <row r="87" spans="1:12" x14ac:dyDescent="0.35">
      <c r="A87" t="s">
        <v>10</v>
      </c>
      <c r="B87" t="s">
        <v>85</v>
      </c>
      <c r="C87" t="s">
        <v>20</v>
      </c>
      <c r="D87">
        <v>585</v>
      </c>
      <c r="E87">
        <v>0.72899999999999998</v>
      </c>
      <c r="F87">
        <v>35.700000000000003</v>
      </c>
      <c r="G87">
        <v>39</v>
      </c>
      <c r="H87">
        <v>34.4</v>
      </c>
      <c r="I87">
        <v>33.799999999999997</v>
      </c>
      <c r="J87">
        <v>48.5</v>
      </c>
      <c r="K87">
        <f t="shared" si="2"/>
        <v>36.700000000000003</v>
      </c>
      <c r="L87" t="str">
        <f t="shared" si="3"/>
        <v>M2-1</v>
      </c>
    </row>
    <row r="88" spans="1:12" x14ac:dyDescent="0.35">
      <c r="A88" t="s">
        <v>10</v>
      </c>
      <c r="B88" t="s">
        <v>85</v>
      </c>
      <c r="C88" t="s">
        <v>21</v>
      </c>
      <c r="D88">
        <v>267</v>
      </c>
      <c r="E88">
        <v>0.63800000000000001</v>
      </c>
      <c r="F88">
        <v>28.8</v>
      </c>
      <c r="G88">
        <v>36</v>
      </c>
      <c r="H88">
        <v>27</v>
      </c>
      <c r="I88">
        <v>23.6</v>
      </c>
      <c r="J88">
        <v>44.2</v>
      </c>
      <c r="K88">
        <f t="shared" si="2"/>
        <v>31.5</v>
      </c>
      <c r="L88" t="str">
        <f t="shared" si="3"/>
        <v>M2-2</v>
      </c>
    </row>
    <row r="89" spans="1:12" x14ac:dyDescent="0.35">
      <c r="A89" t="s">
        <v>10</v>
      </c>
      <c r="B89" t="s">
        <v>85</v>
      </c>
      <c r="C89" t="s">
        <v>22</v>
      </c>
      <c r="D89">
        <v>6498</v>
      </c>
      <c r="E89">
        <v>0.69299999999999995</v>
      </c>
      <c r="F89">
        <v>30.9</v>
      </c>
      <c r="G89">
        <v>36</v>
      </c>
      <c r="H89">
        <v>31</v>
      </c>
      <c r="I89">
        <v>25.8</v>
      </c>
      <c r="J89">
        <v>41.4</v>
      </c>
      <c r="K89">
        <f t="shared" si="2"/>
        <v>33.5</v>
      </c>
      <c r="L89" t="str">
        <f t="shared" si="3"/>
        <v>L</v>
      </c>
    </row>
    <row r="90" spans="1:12" x14ac:dyDescent="0.35">
      <c r="A90" t="s">
        <v>10</v>
      </c>
      <c r="B90" t="s">
        <v>89</v>
      </c>
      <c r="C90" t="s">
        <v>90</v>
      </c>
      <c r="D90">
        <v>420</v>
      </c>
      <c r="E90">
        <v>0.71</v>
      </c>
      <c r="F90">
        <v>30.7</v>
      </c>
      <c r="G90">
        <v>35</v>
      </c>
      <c r="H90">
        <v>29.3</v>
      </c>
      <c r="I90">
        <v>27.9</v>
      </c>
      <c r="J90">
        <v>48.9</v>
      </c>
      <c r="K90">
        <f t="shared" si="2"/>
        <v>32.15</v>
      </c>
      <c r="L90" t="str">
        <f t="shared" si="3"/>
        <v>NS1</v>
      </c>
    </row>
    <row r="91" spans="1:12" x14ac:dyDescent="0.35">
      <c r="A91" t="s">
        <v>10</v>
      </c>
      <c r="B91" t="s">
        <v>89</v>
      </c>
      <c r="C91" t="s">
        <v>91</v>
      </c>
      <c r="D91">
        <v>375</v>
      </c>
      <c r="E91">
        <v>0.76100000000000001</v>
      </c>
      <c r="F91">
        <v>34.700000000000003</v>
      </c>
      <c r="G91">
        <v>34.4</v>
      </c>
      <c r="H91">
        <v>32</v>
      </c>
      <c r="I91">
        <v>37.6</v>
      </c>
      <c r="J91">
        <v>42</v>
      </c>
      <c r="K91">
        <f t="shared" si="2"/>
        <v>33.200000000000003</v>
      </c>
      <c r="L91" t="str">
        <f t="shared" si="3"/>
        <v>NS2</v>
      </c>
    </row>
    <row r="92" spans="1:12" x14ac:dyDescent="0.35">
      <c r="A92" t="s">
        <v>10</v>
      </c>
      <c r="B92" t="s">
        <v>89</v>
      </c>
      <c r="C92" t="s">
        <v>92</v>
      </c>
      <c r="D92">
        <v>1176</v>
      </c>
      <c r="E92">
        <v>0.7</v>
      </c>
      <c r="F92">
        <v>37</v>
      </c>
      <c r="G92">
        <v>48</v>
      </c>
      <c r="H92">
        <v>33.9</v>
      </c>
      <c r="I92">
        <v>29.1</v>
      </c>
      <c r="J92">
        <v>47.7</v>
      </c>
      <c r="K92">
        <f t="shared" si="2"/>
        <v>40.950000000000003</v>
      </c>
      <c r="L92" t="str">
        <f t="shared" si="3"/>
        <v>N</v>
      </c>
    </row>
    <row r="93" spans="1:12" x14ac:dyDescent="0.35">
      <c r="A93" t="s">
        <v>10</v>
      </c>
      <c r="B93" t="s">
        <v>89</v>
      </c>
      <c r="C93" t="s">
        <v>93</v>
      </c>
      <c r="D93">
        <v>726</v>
      </c>
      <c r="E93">
        <v>0.71699999999999997</v>
      </c>
      <c r="F93">
        <v>35.5</v>
      </c>
      <c r="G93">
        <v>44.6</v>
      </c>
      <c r="H93">
        <v>34.700000000000003</v>
      </c>
      <c r="I93">
        <v>27.3</v>
      </c>
      <c r="J93">
        <v>45.2</v>
      </c>
      <c r="K93">
        <f t="shared" si="2"/>
        <v>39.650000000000006</v>
      </c>
      <c r="L93" t="str">
        <f t="shared" si="3"/>
        <v>P</v>
      </c>
    </row>
    <row r="94" spans="1:12" x14ac:dyDescent="0.35">
      <c r="A94" t="s">
        <v>10</v>
      </c>
      <c r="B94" t="s">
        <v>89</v>
      </c>
      <c r="C94" t="s">
        <v>94</v>
      </c>
      <c r="D94">
        <v>771</v>
      </c>
      <c r="E94">
        <v>0.70099999999999996</v>
      </c>
      <c r="F94">
        <v>36.799999999999997</v>
      </c>
      <c r="G94">
        <v>41.6</v>
      </c>
      <c r="H94">
        <v>36.200000000000003</v>
      </c>
      <c r="I94">
        <v>32.700000000000003</v>
      </c>
      <c r="J94">
        <v>40.5</v>
      </c>
      <c r="K94">
        <f t="shared" si="2"/>
        <v>38.900000000000006</v>
      </c>
      <c r="L94" t="str">
        <f t="shared" si="3"/>
        <v>M</v>
      </c>
    </row>
    <row r="95" spans="1:12" x14ac:dyDescent="0.35">
      <c r="A95" t="s">
        <v>10</v>
      </c>
      <c r="B95" t="s">
        <v>89</v>
      </c>
      <c r="C95" t="s">
        <v>95</v>
      </c>
      <c r="D95">
        <v>195</v>
      </c>
      <c r="E95">
        <v>0.67800000000000005</v>
      </c>
      <c r="F95">
        <v>31.3</v>
      </c>
      <c r="G95">
        <v>26.2</v>
      </c>
      <c r="H95">
        <v>30.8</v>
      </c>
      <c r="I95">
        <v>36.9</v>
      </c>
      <c r="J95">
        <v>45.4</v>
      </c>
      <c r="K95">
        <f t="shared" si="2"/>
        <v>28.5</v>
      </c>
      <c r="L95" t="str">
        <f t="shared" si="3"/>
        <v>SH</v>
      </c>
    </row>
    <row r="96" spans="1:12" x14ac:dyDescent="0.35">
      <c r="A96" t="s">
        <v>10</v>
      </c>
      <c r="B96" t="s">
        <v>89</v>
      </c>
      <c r="C96" t="s">
        <v>96</v>
      </c>
      <c r="D96">
        <v>966</v>
      </c>
      <c r="E96">
        <v>0.755</v>
      </c>
      <c r="F96">
        <v>43.3</v>
      </c>
      <c r="G96">
        <v>35.4</v>
      </c>
      <c r="H96">
        <v>49.1</v>
      </c>
      <c r="I96">
        <v>45.3</v>
      </c>
      <c r="J96">
        <v>51.9</v>
      </c>
      <c r="K96">
        <f t="shared" si="2"/>
        <v>42.25</v>
      </c>
      <c r="L96" t="str">
        <f t="shared" si="3"/>
        <v>G</v>
      </c>
    </row>
    <row r="97" spans="1:12" x14ac:dyDescent="0.35">
      <c r="A97" t="s">
        <v>10</v>
      </c>
      <c r="B97" t="s">
        <v>89</v>
      </c>
      <c r="C97" t="s">
        <v>97</v>
      </c>
      <c r="D97">
        <v>1725</v>
      </c>
      <c r="E97">
        <v>0.69</v>
      </c>
      <c r="F97">
        <v>35.299999999999997</v>
      </c>
      <c r="G97">
        <v>37.4</v>
      </c>
      <c r="H97">
        <v>37.6</v>
      </c>
      <c r="I97">
        <v>31</v>
      </c>
      <c r="J97">
        <v>46.9</v>
      </c>
      <c r="K97">
        <f t="shared" si="2"/>
        <v>37.5</v>
      </c>
      <c r="L97" t="str">
        <f t="shared" si="3"/>
        <v>F</v>
      </c>
    </row>
    <row r="98" spans="1:12" x14ac:dyDescent="0.35">
      <c r="A98" t="s">
        <v>10</v>
      </c>
      <c r="B98" t="s">
        <v>89</v>
      </c>
      <c r="C98" t="s">
        <v>98</v>
      </c>
      <c r="D98">
        <v>585</v>
      </c>
      <c r="E98">
        <v>0.73099999999999998</v>
      </c>
      <c r="F98">
        <v>36.4</v>
      </c>
      <c r="G98">
        <v>39.5</v>
      </c>
      <c r="H98">
        <v>34.9</v>
      </c>
      <c r="I98">
        <v>34.9</v>
      </c>
      <c r="J98">
        <v>48.9</v>
      </c>
      <c r="K98">
        <f t="shared" si="2"/>
        <v>37.200000000000003</v>
      </c>
      <c r="L98" t="str">
        <f t="shared" si="3"/>
        <v>M2-1</v>
      </c>
    </row>
    <row r="99" spans="1:12" x14ac:dyDescent="0.35">
      <c r="A99" t="s">
        <v>10</v>
      </c>
      <c r="B99" t="s">
        <v>89</v>
      </c>
      <c r="C99" t="s">
        <v>99</v>
      </c>
      <c r="D99">
        <v>267</v>
      </c>
      <c r="E99">
        <v>0.63500000000000001</v>
      </c>
      <c r="F99">
        <v>28.1</v>
      </c>
      <c r="G99">
        <v>36</v>
      </c>
      <c r="H99">
        <v>25.8</v>
      </c>
      <c r="I99">
        <v>22.5</v>
      </c>
      <c r="J99">
        <v>44.6</v>
      </c>
      <c r="K99">
        <f t="shared" si="2"/>
        <v>30.9</v>
      </c>
      <c r="L99" t="str">
        <f t="shared" si="3"/>
        <v>M2-2</v>
      </c>
    </row>
    <row r="100" spans="1:12" x14ac:dyDescent="0.35">
      <c r="A100" t="s">
        <v>10</v>
      </c>
      <c r="B100" t="s">
        <v>89</v>
      </c>
      <c r="C100" t="s">
        <v>100</v>
      </c>
      <c r="D100">
        <v>6498</v>
      </c>
      <c r="E100">
        <v>0.69199999999999995</v>
      </c>
      <c r="F100">
        <v>30.7</v>
      </c>
      <c r="G100">
        <v>36.1</v>
      </c>
      <c r="H100">
        <v>30.8</v>
      </c>
      <c r="I100">
        <v>25.2</v>
      </c>
      <c r="J100">
        <v>40.9</v>
      </c>
      <c r="K100">
        <f t="shared" si="2"/>
        <v>33.450000000000003</v>
      </c>
      <c r="L100" t="str">
        <f t="shared" si="3"/>
        <v>L</v>
      </c>
    </row>
    <row r="101" spans="1:12" x14ac:dyDescent="0.35">
      <c r="A101" t="s">
        <v>10</v>
      </c>
      <c r="B101" t="s">
        <v>101</v>
      </c>
      <c r="C101" t="s">
        <v>36</v>
      </c>
      <c r="D101">
        <v>420</v>
      </c>
      <c r="E101">
        <v>0.70699999999999996</v>
      </c>
      <c r="F101">
        <v>30.7</v>
      </c>
      <c r="G101">
        <v>35</v>
      </c>
      <c r="H101">
        <v>29.3</v>
      </c>
      <c r="I101">
        <v>27.9</v>
      </c>
      <c r="J101">
        <v>49.1</v>
      </c>
      <c r="K101">
        <f t="shared" si="2"/>
        <v>32.15</v>
      </c>
      <c r="L101" t="str">
        <f t="shared" si="3"/>
        <v>NS1</v>
      </c>
    </row>
    <row r="102" spans="1:12" x14ac:dyDescent="0.35">
      <c r="A102" t="s">
        <v>10</v>
      </c>
      <c r="B102" t="s">
        <v>101</v>
      </c>
      <c r="C102" t="s">
        <v>37</v>
      </c>
      <c r="D102">
        <v>375</v>
      </c>
      <c r="E102">
        <v>0.76300000000000001</v>
      </c>
      <c r="F102">
        <v>33.6</v>
      </c>
      <c r="G102">
        <v>34.4</v>
      </c>
      <c r="H102">
        <v>32</v>
      </c>
      <c r="I102">
        <v>34.4</v>
      </c>
      <c r="J102">
        <v>43.8</v>
      </c>
      <c r="K102">
        <f t="shared" si="2"/>
        <v>33.200000000000003</v>
      </c>
      <c r="L102" t="str">
        <f t="shared" si="3"/>
        <v>NS2</v>
      </c>
    </row>
    <row r="103" spans="1:12" x14ac:dyDescent="0.35">
      <c r="A103" t="s">
        <v>10</v>
      </c>
      <c r="B103" t="s">
        <v>101</v>
      </c>
      <c r="C103" t="s">
        <v>38</v>
      </c>
      <c r="D103">
        <v>1176</v>
      </c>
      <c r="E103">
        <v>0.70099999999999996</v>
      </c>
      <c r="F103">
        <v>37</v>
      </c>
      <c r="G103">
        <v>47.7</v>
      </c>
      <c r="H103">
        <v>33.9</v>
      </c>
      <c r="I103">
        <v>29.3</v>
      </c>
      <c r="J103">
        <v>45.7</v>
      </c>
      <c r="K103">
        <f t="shared" si="2"/>
        <v>40.799999999999997</v>
      </c>
      <c r="L103" t="str">
        <f t="shared" si="3"/>
        <v>N</v>
      </c>
    </row>
    <row r="104" spans="1:12" x14ac:dyDescent="0.35">
      <c r="A104" t="s">
        <v>10</v>
      </c>
      <c r="B104" t="s">
        <v>101</v>
      </c>
      <c r="C104" t="s">
        <v>102</v>
      </c>
      <c r="D104">
        <v>726</v>
      </c>
      <c r="E104">
        <v>0.71599999999999997</v>
      </c>
      <c r="F104">
        <v>35.799999999999997</v>
      </c>
      <c r="G104">
        <v>44.6</v>
      </c>
      <c r="H104">
        <v>35.1</v>
      </c>
      <c r="I104">
        <v>27.7</v>
      </c>
      <c r="J104">
        <v>44.8</v>
      </c>
      <c r="K104">
        <f t="shared" si="2"/>
        <v>39.85</v>
      </c>
      <c r="L104" t="str">
        <f t="shared" si="3"/>
        <v>P</v>
      </c>
    </row>
    <row r="105" spans="1:12" x14ac:dyDescent="0.35">
      <c r="A105" t="s">
        <v>10</v>
      </c>
      <c r="B105" t="s">
        <v>101</v>
      </c>
      <c r="C105" t="s">
        <v>103</v>
      </c>
      <c r="D105">
        <v>771</v>
      </c>
      <c r="E105">
        <v>0.69599999999999995</v>
      </c>
      <c r="F105">
        <v>36.700000000000003</v>
      </c>
      <c r="G105">
        <v>41.2</v>
      </c>
      <c r="H105">
        <v>36.200000000000003</v>
      </c>
      <c r="I105">
        <v>32.700000000000003</v>
      </c>
      <c r="J105">
        <v>40</v>
      </c>
      <c r="K105">
        <f t="shared" si="2"/>
        <v>38.700000000000003</v>
      </c>
      <c r="L105" t="str">
        <f t="shared" si="3"/>
        <v>M</v>
      </c>
    </row>
    <row r="106" spans="1:12" x14ac:dyDescent="0.35">
      <c r="A106" t="s">
        <v>10</v>
      </c>
      <c r="B106" t="s">
        <v>101</v>
      </c>
      <c r="C106" t="s">
        <v>104</v>
      </c>
      <c r="D106">
        <v>195</v>
      </c>
      <c r="E106">
        <v>0.68</v>
      </c>
      <c r="F106">
        <v>31.8</v>
      </c>
      <c r="G106">
        <v>26.2</v>
      </c>
      <c r="H106">
        <v>30.8</v>
      </c>
      <c r="I106">
        <v>38.5</v>
      </c>
      <c r="J106">
        <v>45.4</v>
      </c>
      <c r="K106">
        <f t="shared" si="2"/>
        <v>28.5</v>
      </c>
      <c r="L106" t="str">
        <f t="shared" si="3"/>
        <v>SH</v>
      </c>
    </row>
    <row r="107" spans="1:12" x14ac:dyDescent="0.35">
      <c r="A107" t="s">
        <v>10</v>
      </c>
      <c r="B107" t="s">
        <v>101</v>
      </c>
      <c r="C107" t="s">
        <v>105</v>
      </c>
      <c r="D107">
        <v>897</v>
      </c>
      <c r="E107">
        <v>0.74399999999999999</v>
      </c>
      <c r="F107">
        <v>42.6</v>
      </c>
      <c r="G107">
        <v>34.1</v>
      </c>
      <c r="H107">
        <v>47.8</v>
      </c>
      <c r="I107">
        <v>45.8</v>
      </c>
      <c r="J107">
        <v>48.3</v>
      </c>
      <c r="K107">
        <f t="shared" si="2"/>
        <v>40.950000000000003</v>
      </c>
      <c r="L107" t="str">
        <f t="shared" si="3"/>
        <v>G</v>
      </c>
    </row>
    <row r="108" spans="1:12" x14ac:dyDescent="0.35">
      <c r="A108" t="s">
        <v>10</v>
      </c>
      <c r="B108" t="s">
        <v>101</v>
      </c>
      <c r="C108" t="s">
        <v>106</v>
      </c>
      <c r="D108">
        <v>1725</v>
      </c>
      <c r="E108">
        <v>0.69099999999999995</v>
      </c>
      <c r="F108">
        <v>35.1</v>
      </c>
      <c r="G108">
        <v>37.200000000000003</v>
      </c>
      <c r="H108">
        <v>37.4</v>
      </c>
      <c r="I108">
        <v>30.6</v>
      </c>
      <c r="J108">
        <v>45.9</v>
      </c>
      <c r="K108">
        <f t="shared" si="2"/>
        <v>37.299999999999997</v>
      </c>
      <c r="L108" t="str">
        <f t="shared" si="3"/>
        <v>F</v>
      </c>
    </row>
    <row r="109" spans="1:12" x14ac:dyDescent="0.35">
      <c r="A109" t="s">
        <v>10</v>
      </c>
      <c r="B109" t="s">
        <v>101</v>
      </c>
      <c r="C109" t="s">
        <v>107</v>
      </c>
      <c r="D109">
        <v>585</v>
      </c>
      <c r="E109">
        <v>0.73899999999999999</v>
      </c>
      <c r="F109">
        <v>36.799999999999997</v>
      </c>
      <c r="G109">
        <v>39</v>
      </c>
      <c r="H109">
        <v>34.9</v>
      </c>
      <c r="I109">
        <v>36.4</v>
      </c>
      <c r="J109">
        <v>48.1</v>
      </c>
      <c r="K109">
        <f t="shared" si="2"/>
        <v>36.950000000000003</v>
      </c>
      <c r="L109" t="str">
        <f t="shared" si="3"/>
        <v>M2-1</v>
      </c>
    </row>
    <row r="110" spans="1:12" x14ac:dyDescent="0.35">
      <c r="A110" t="s">
        <v>10</v>
      </c>
      <c r="B110" t="s">
        <v>101</v>
      </c>
      <c r="C110" t="s">
        <v>108</v>
      </c>
      <c r="D110">
        <v>267</v>
      </c>
      <c r="E110">
        <v>0.64400000000000002</v>
      </c>
      <c r="F110">
        <v>29.6</v>
      </c>
      <c r="G110">
        <v>37.1</v>
      </c>
      <c r="H110">
        <v>27</v>
      </c>
      <c r="I110">
        <v>24.7</v>
      </c>
      <c r="J110">
        <v>32.299999999999997</v>
      </c>
      <c r="K110">
        <f t="shared" si="2"/>
        <v>32.049999999999997</v>
      </c>
      <c r="L110" t="str">
        <f t="shared" si="3"/>
        <v>M2-2</v>
      </c>
    </row>
    <row r="111" spans="1:12" x14ac:dyDescent="0.35">
      <c r="A111" t="s">
        <v>10</v>
      </c>
      <c r="B111" t="s">
        <v>101</v>
      </c>
      <c r="C111" t="s">
        <v>109</v>
      </c>
      <c r="D111">
        <v>6498</v>
      </c>
      <c r="E111">
        <v>0.69199999999999995</v>
      </c>
      <c r="F111">
        <v>30.5</v>
      </c>
      <c r="G111">
        <v>35.799999999999997</v>
      </c>
      <c r="H111">
        <v>30.8</v>
      </c>
      <c r="I111">
        <v>25</v>
      </c>
      <c r="J111">
        <v>41</v>
      </c>
      <c r="K111">
        <f t="shared" si="2"/>
        <v>33.299999999999997</v>
      </c>
      <c r="L111" t="str">
        <f t="shared" si="3"/>
        <v>L</v>
      </c>
    </row>
    <row r="112" spans="1:12" x14ac:dyDescent="0.35">
      <c r="A112" t="s">
        <v>10</v>
      </c>
      <c r="B112" t="s">
        <v>110</v>
      </c>
      <c r="C112" t="s">
        <v>111</v>
      </c>
      <c r="D112">
        <v>420</v>
      </c>
      <c r="E112">
        <v>0.71099999999999997</v>
      </c>
      <c r="F112">
        <v>30</v>
      </c>
      <c r="G112">
        <v>34.299999999999997</v>
      </c>
      <c r="H112">
        <v>29.3</v>
      </c>
      <c r="I112">
        <v>26.4</v>
      </c>
      <c r="J112">
        <v>46.1</v>
      </c>
      <c r="K112">
        <f t="shared" si="2"/>
        <v>31.799999999999997</v>
      </c>
      <c r="L112" t="str">
        <f t="shared" si="3"/>
        <v>NS1</v>
      </c>
    </row>
    <row r="113" spans="1:12" x14ac:dyDescent="0.35">
      <c r="A113" t="s">
        <v>10</v>
      </c>
      <c r="B113" t="s">
        <v>110</v>
      </c>
      <c r="C113" t="s">
        <v>112</v>
      </c>
      <c r="D113">
        <v>375</v>
      </c>
      <c r="E113">
        <v>0.76100000000000001</v>
      </c>
      <c r="F113">
        <v>33.9</v>
      </c>
      <c r="G113">
        <v>34.4</v>
      </c>
      <c r="H113">
        <v>32</v>
      </c>
      <c r="I113">
        <v>35.200000000000003</v>
      </c>
      <c r="J113">
        <v>44.4</v>
      </c>
      <c r="K113">
        <f t="shared" si="2"/>
        <v>33.200000000000003</v>
      </c>
      <c r="L113" t="str">
        <f t="shared" si="3"/>
        <v>NS2</v>
      </c>
    </row>
    <row r="114" spans="1:12" x14ac:dyDescent="0.35">
      <c r="A114" t="s">
        <v>10</v>
      </c>
      <c r="B114" t="s">
        <v>110</v>
      </c>
      <c r="C114" t="s">
        <v>113</v>
      </c>
      <c r="D114">
        <v>1176</v>
      </c>
      <c r="E114">
        <v>0.70199999999999996</v>
      </c>
      <c r="F114">
        <v>37.1</v>
      </c>
      <c r="G114">
        <v>47.7</v>
      </c>
      <c r="H114">
        <v>33.9</v>
      </c>
      <c r="I114">
        <v>29.6</v>
      </c>
      <c r="J114">
        <v>45.1</v>
      </c>
      <c r="K114">
        <f t="shared" si="2"/>
        <v>40.799999999999997</v>
      </c>
      <c r="L114" t="str">
        <f t="shared" si="3"/>
        <v>N</v>
      </c>
    </row>
    <row r="115" spans="1:12" x14ac:dyDescent="0.35">
      <c r="A115" t="s">
        <v>10</v>
      </c>
      <c r="B115" t="s">
        <v>110</v>
      </c>
      <c r="C115" t="s">
        <v>114</v>
      </c>
      <c r="D115">
        <v>726</v>
      </c>
      <c r="E115">
        <v>0.71499999999999997</v>
      </c>
      <c r="F115">
        <v>35.1</v>
      </c>
      <c r="G115">
        <v>44.6</v>
      </c>
      <c r="H115">
        <v>34.700000000000003</v>
      </c>
      <c r="I115">
        <v>26</v>
      </c>
      <c r="J115">
        <v>42.9</v>
      </c>
      <c r="K115">
        <f t="shared" si="2"/>
        <v>39.650000000000006</v>
      </c>
      <c r="L115" t="str">
        <f t="shared" si="3"/>
        <v>P</v>
      </c>
    </row>
    <row r="116" spans="1:12" x14ac:dyDescent="0.35">
      <c r="A116" t="s">
        <v>10</v>
      </c>
      <c r="B116" t="s">
        <v>110</v>
      </c>
      <c r="C116" t="s">
        <v>115</v>
      </c>
      <c r="D116">
        <v>771</v>
      </c>
      <c r="E116">
        <v>0.69699999999999995</v>
      </c>
      <c r="F116">
        <v>36.700000000000003</v>
      </c>
      <c r="G116">
        <v>41.2</v>
      </c>
      <c r="H116">
        <v>36.200000000000003</v>
      </c>
      <c r="I116">
        <v>32.700000000000003</v>
      </c>
      <c r="J116">
        <v>39.700000000000003</v>
      </c>
      <c r="K116">
        <f t="shared" si="2"/>
        <v>38.700000000000003</v>
      </c>
      <c r="L116" t="str">
        <f t="shared" si="3"/>
        <v>M</v>
      </c>
    </row>
    <row r="117" spans="1:12" x14ac:dyDescent="0.35">
      <c r="A117" t="s">
        <v>10</v>
      </c>
      <c r="B117" t="s">
        <v>110</v>
      </c>
      <c r="C117" t="s">
        <v>116</v>
      </c>
      <c r="D117">
        <v>195</v>
      </c>
      <c r="E117">
        <v>0.68400000000000005</v>
      </c>
      <c r="F117">
        <v>32.299999999999997</v>
      </c>
      <c r="G117">
        <v>26.2</v>
      </c>
      <c r="H117">
        <v>30.8</v>
      </c>
      <c r="I117">
        <v>40</v>
      </c>
      <c r="J117">
        <v>44.5</v>
      </c>
      <c r="K117">
        <f t="shared" si="2"/>
        <v>28.5</v>
      </c>
      <c r="L117" t="str">
        <f t="shared" si="3"/>
        <v>SH</v>
      </c>
    </row>
    <row r="118" spans="1:12" x14ac:dyDescent="0.35">
      <c r="A118" t="s">
        <v>10</v>
      </c>
      <c r="B118" t="s">
        <v>110</v>
      </c>
      <c r="C118" t="s">
        <v>117</v>
      </c>
      <c r="D118">
        <v>894</v>
      </c>
      <c r="E118">
        <v>0.746</v>
      </c>
      <c r="F118">
        <v>42.1</v>
      </c>
      <c r="G118">
        <v>33.200000000000003</v>
      </c>
      <c r="H118">
        <v>48</v>
      </c>
      <c r="I118">
        <v>45</v>
      </c>
      <c r="J118">
        <v>44.8</v>
      </c>
      <c r="K118">
        <f t="shared" si="2"/>
        <v>40.6</v>
      </c>
      <c r="L118" t="str">
        <f t="shared" si="3"/>
        <v>G</v>
      </c>
    </row>
    <row r="119" spans="1:12" x14ac:dyDescent="0.35">
      <c r="A119" t="s">
        <v>10</v>
      </c>
      <c r="B119" t="s">
        <v>110</v>
      </c>
      <c r="C119" t="s">
        <v>118</v>
      </c>
      <c r="D119">
        <v>1725</v>
      </c>
      <c r="E119">
        <v>0.68799999999999994</v>
      </c>
      <c r="F119">
        <v>35.200000000000003</v>
      </c>
      <c r="G119">
        <v>37.6</v>
      </c>
      <c r="H119">
        <v>37.4</v>
      </c>
      <c r="I119">
        <v>30.6</v>
      </c>
      <c r="J119">
        <v>45.9</v>
      </c>
      <c r="K119">
        <f t="shared" si="2"/>
        <v>37.5</v>
      </c>
      <c r="L119" t="str">
        <f t="shared" si="3"/>
        <v>F</v>
      </c>
    </row>
    <row r="120" spans="1:12" x14ac:dyDescent="0.35">
      <c r="A120" t="s">
        <v>10</v>
      </c>
      <c r="B120" t="s">
        <v>110</v>
      </c>
      <c r="C120" t="s">
        <v>119</v>
      </c>
      <c r="D120">
        <v>585</v>
      </c>
      <c r="E120">
        <v>0.73099999999999998</v>
      </c>
      <c r="F120">
        <v>36.4</v>
      </c>
      <c r="G120">
        <v>39</v>
      </c>
      <c r="H120">
        <v>34.9</v>
      </c>
      <c r="I120">
        <v>35.4</v>
      </c>
      <c r="J120">
        <v>48.9</v>
      </c>
      <c r="K120">
        <f t="shared" si="2"/>
        <v>36.950000000000003</v>
      </c>
      <c r="L120" t="str">
        <f t="shared" si="3"/>
        <v>M2-1</v>
      </c>
    </row>
    <row r="121" spans="1:12" x14ac:dyDescent="0.35">
      <c r="A121" t="s">
        <v>10</v>
      </c>
      <c r="B121" t="s">
        <v>110</v>
      </c>
      <c r="C121" t="s">
        <v>120</v>
      </c>
      <c r="D121">
        <v>267</v>
      </c>
      <c r="E121">
        <v>0.64100000000000001</v>
      </c>
      <c r="F121">
        <v>28.8</v>
      </c>
      <c r="G121">
        <v>37.1</v>
      </c>
      <c r="H121">
        <v>25.8</v>
      </c>
      <c r="I121">
        <v>23.6</v>
      </c>
      <c r="J121">
        <v>43.1</v>
      </c>
      <c r="K121">
        <f t="shared" si="2"/>
        <v>31.450000000000003</v>
      </c>
      <c r="L121" t="str">
        <f t="shared" si="3"/>
        <v>M2-2</v>
      </c>
    </row>
    <row r="122" spans="1:12" x14ac:dyDescent="0.35">
      <c r="A122" t="s">
        <v>10</v>
      </c>
      <c r="B122" t="s">
        <v>110</v>
      </c>
      <c r="C122" t="s">
        <v>121</v>
      </c>
      <c r="D122">
        <v>6498</v>
      </c>
      <c r="E122">
        <v>0.69399999999999995</v>
      </c>
      <c r="F122">
        <v>31</v>
      </c>
      <c r="G122">
        <v>36</v>
      </c>
      <c r="H122">
        <v>31</v>
      </c>
      <c r="I122">
        <v>25.9</v>
      </c>
      <c r="J122">
        <v>41.7</v>
      </c>
      <c r="K122">
        <f t="shared" si="2"/>
        <v>33.5</v>
      </c>
      <c r="L122" t="str">
        <f t="shared" si="3"/>
        <v>L</v>
      </c>
    </row>
    <row r="123" spans="1:12" x14ac:dyDescent="0.35">
      <c r="A123" t="s">
        <v>10</v>
      </c>
      <c r="B123" t="s">
        <v>122</v>
      </c>
      <c r="C123" t="s">
        <v>12</v>
      </c>
      <c r="D123">
        <v>420</v>
      </c>
      <c r="E123">
        <v>0.71</v>
      </c>
      <c r="F123">
        <v>31</v>
      </c>
      <c r="G123">
        <v>35</v>
      </c>
      <c r="H123">
        <v>29.3</v>
      </c>
      <c r="I123">
        <v>28.6</v>
      </c>
      <c r="J123">
        <v>49.6</v>
      </c>
      <c r="K123">
        <f t="shared" si="2"/>
        <v>32.15</v>
      </c>
      <c r="L123" t="str">
        <f t="shared" si="3"/>
        <v>NS1</v>
      </c>
    </row>
    <row r="124" spans="1:12" x14ac:dyDescent="0.35">
      <c r="A124" t="s">
        <v>10</v>
      </c>
      <c r="B124" t="s">
        <v>122</v>
      </c>
      <c r="C124" t="s">
        <v>57</v>
      </c>
      <c r="D124">
        <v>375</v>
      </c>
      <c r="E124">
        <v>0.754</v>
      </c>
      <c r="F124">
        <v>33.6</v>
      </c>
      <c r="G124">
        <v>34.4</v>
      </c>
      <c r="H124">
        <v>32</v>
      </c>
      <c r="I124">
        <v>34.4</v>
      </c>
      <c r="J124">
        <v>41.1</v>
      </c>
      <c r="K124">
        <f t="shared" si="2"/>
        <v>33.200000000000003</v>
      </c>
      <c r="L124" t="str">
        <f t="shared" si="3"/>
        <v>NS2</v>
      </c>
    </row>
    <row r="125" spans="1:12" x14ac:dyDescent="0.35">
      <c r="A125" t="s">
        <v>10</v>
      </c>
      <c r="B125" t="s">
        <v>122</v>
      </c>
      <c r="C125" t="s">
        <v>58</v>
      </c>
      <c r="D125">
        <v>1176</v>
      </c>
      <c r="E125">
        <v>0.69699999999999995</v>
      </c>
      <c r="F125">
        <v>37.1</v>
      </c>
      <c r="G125">
        <v>47.7</v>
      </c>
      <c r="H125">
        <v>33.9</v>
      </c>
      <c r="I125">
        <v>29.6</v>
      </c>
      <c r="J125">
        <v>46.4</v>
      </c>
      <c r="K125">
        <f t="shared" si="2"/>
        <v>40.799999999999997</v>
      </c>
      <c r="L125" t="str">
        <f t="shared" si="3"/>
        <v>N</v>
      </c>
    </row>
    <row r="126" spans="1:12" x14ac:dyDescent="0.35">
      <c r="A126" t="s">
        <v>10</v>
      </c>
      <c r="B126" t="s">
        <v>122</v>
      </c>
      <c r="C126" t="s">
        <v>59</v>
      </c>
      <c r="D126">
        <v>726</v>
      </c>
      <c r="E126">
        <v>0.71</v>
      </c>
      <c r="F126">
        <v>35.4</v>
      </c>
      <c r="G126">
        <v>44.6</v>
      </c>
      <c r="H126">
        <v>35.1</v>
      </c>
      <c r="I126">
        <v>26.4</v>
      </c>
      <c r="J126">
        <v>43.9</v>
      </c>
      <c r="K126">
        <f t="shared" si="2"/>
        <v>39.85</v>
      </c>
      <c r="L126" t="str">
        <f t="shared" si="3"/>
        <v>P</v>
      </c>
    </row>
    <row r="127" spans="1:12" x14ac:dyDescent="0.35">
      <c r="A127" t="s">
        <v>10</v>
      </c>
      <c r="B127" t="s">
        <v>122</v>
      </c>
      <c r="C127" t="s">
        <v>123</v>
      </c>
      <c r="D127">
        <v>771</v>
      </c>
      <c r="E127">
        <v>0.69099999999999995</v>
      </c>
      <c r="F127">
        <v>36.299999999999997</v>
      </c>
      <c r="G127">
        <v>41.2</v>
      </c>
      <c r="H127">
        <v>35.799999999999997</v>
      </c>
      <c r="I127">
        <v>31.9</v>
      </c>
      <c r="J127">
        <v>40</v>
      </c>
      <c r="K127">
        <f t="shared" si="2"/>
        <v>38.5</v>
      </c>
      <c r="L127" t="str">
        <f t="shared" si="3"/>
        <v>M</v>
      </c>
    </row>
    <row r="128" spans="1:12" x14ac:dyDescent="0.35">
      <c r="A128" t="s">
        <v>10</v>
      </c>
      <c r="B128" t="s">
        <v>122</v>
      </c>
      <c r="C128" t="s">
        <v>49</v>
      </c>
      <c r="D128">
        <v>195</v>
      </c>
      <c r="E128">
        <v>0.69199999999999995</v>
      </c>
      <c r="F128">
        <v>32.799999999999997</v>
      </c>
      <c r="G128">
        <v>27.7</v>
      </c>
      <c r="H128">
        <v>30.8</v>
      </c>
      <c r="I128">
        <v>40</v>
      </c>
      <c r="J128">
        <v>45.6</v>
      </c>
      <c r="K128">
        <f t="shared" si="2"/>
        <v>29.25</v>
      </c>
      <c r="L128" t="str">
        <f t="shared" si="3"/>
        <v>SH</v>
      </c>
    </row>
    <row r="129" spans="1:12" x14ac:dyDescent="0.35">
      <c r="A129" t="s">
        <v>10</v>
      </c>
      <c r="B129" t="s">
        <v>122</v>
      </c>
      <c r="C129" t="s">
        <v>50</v>
      </c>
      <c r="D129">
        <v>966</v>
      </c>
      <c r="E129">
        <v>0.74299999999999999</v>
      </c>
      <c r="F129">
        <v>42</v>
      </c>
      <c r="G129">
        <v>34.200000000000003</v>
      </c>
      <c r="H129">
        <v>48.8</v>
      </c>
      <c r="I129">
        <v>43.2</v>
      </c>
      <c r="J129">
        <v>50.1</v>
      </c>
      <c r="K129">
        <f t="shared" si="2"/>
        <v>41.5</v>
      </c>
      <c r="L129" t="str">
        <f t="shared" si="3"/>
        <v>G</v>
      </c>
    </row>
    <row r="130" spans="1:12" x14ac:dyDescent="0.35">
      <c r="A130" t="s">
        <v>10</v>
      </c>
      <c r="B130" t="s">
        <v>122</v>
      </c>
      <c r="C130" t="s">
        <v>51</v>
      </c>
      <c r="D130">
        <v>1725</v>
      </c>
      <c r="E130">
        <v>0.69399999999999995</v>
      </c>
      <c r="F130">
        <v>35.1</v>
      </c>
      <c r="G130">
        <v>37.200000000000003</v>
      </c>
      <c r="H130">
        <v>37.6</v>
      </c>
      <c r="I130">
        <v>30.6</v>
      </c>
      <c r="J130">
        <v>46</v>
      </c>
      <c r="K130">
        <f t="shared" si="2"/>
        <v>37.400000000000006</v>
      </c>
      <c r="L130" t="str">
        <f t="shared" si="3"/>
        <v>F</v>
      </c>
    </row>
    <row r="131" spans="1:12" x14ac:dyDescent="0.35">
      <c r="A131" t="s">
        <v>10</v>
      </c>
      <c r="B131" t="s">
        <v>122</v>
      </c>
      <c r="C131" t="s">
        <v>52</v>
      </c>
      <c r="D131">
        <v>585</v>
      </c>
      <c r="E131">
        <v>0.73099999999999998</v>
      </c>
      <c r="F131">
        <v>36.4</v>
      </c>
      <c r="G131">
        <v>39</v>
      </c>
      <c r="H131">
        <v>34.9</v>
      </c>
      <c r="I131">
        <v>35.4</v>
      </c>
      <c r="J131">
        <v>48</v>
      </c>
      <c r="K131">
        <f t="shared" ref="K131:K194" si="4">(G131+H131)/2</f>
        <v>36.950000000000003</v>
      </c>
      <c r="L131" t="str">
        <f t="shared" ref="L131:L194" si="5">IF(ISNUMBER(SEARCH("M2-1",C131)),"M2-1",IF(ISNUMBER(SEARCH("M2-2",C131)),"M2-2",IF(LEFT(C131,3)="NS1","NS1",IF(LEFT(C131,3)="NS2","NS2",IF(LEFT(C131,2)="N_","N",IF(LEFT(C131,2)="P_","P",IF(LEFT(C131,2)="M_","M",IF(LEFT(C131,2)="SH","SH",IF(LEFT(C131,2)="G_","G",IF(LEFT(C131,2)="F_","F",IF(LEFT(C131,2)="L_","L","UNKNOWN")))))))))))</f>
        <v>M2-1</v>
      </c>
    </row>
    <row r="132" spans="1:12" x14ac:dyDescent="0.35">
      <c r="A132" t="s">
        <v>10</v>
      </c>
      <c r="B132" t="s">
        <v>122</v>
      </c>
      <c r="C132" t="s">
        <v>53</v>
      </c>
      <c r="D132">
        <v>267</v>
      </c>
      <c r="E132">
        <v>0.63700000000000001</v>
      </c>
      <c r="F132">
        <v>29.2</v>
      </c>
      <c r="G132">
        <v>36</v>
      </c>
      <c r="H132">
        <v>28.1</v>
      </c>
      <c r="I132">
        <v>23.6</v>
      </c>
      <c r="J132">
        <v>44.7</v>
      </c>
      <c r="K132">
        <f t="shared" si="4"/>
        <v>32.049999999999997</v>
      </c>
      <c r="L132" t="str">
        <f t="shared" si="5"/>
        <v>M2-2</v>
      </c>
    </row>
    <row r="133" spans="1:12" x14ac:dyDescent="0.35">
      <c r="A133" t="s">
        <v>10</v>
      </c>
      <c r="B133" t="s">
        <v>122</v>
      </c>
      <c r="C133" t="s">
        <v>54</v>
      </c>
      <c r="D133">
        <v>6498</v>
      </c>
      <c r="E133">
        <v>0.69099999999999995</v>
      </c>
      <c r="F133">
        <v>30.7</v>
      </c>
      <c r="G133">
        <v>35.9</v>
      </c>
      <c r="H133">
        <v>30.9</v>
      </c>
      <c r="I133">
        <v>25.3</v>
      </c>
      <c r="J133">
        <v>41.3</v>
      </c>
      <c r="K133">
        <f t="shared" si="4"/>
        <v>33.4</v>
      </c>
      <c r="L133" t="str">
        <f t="shared" si="5"/>
        <v>L</v>
      </c>
    </row>
    <row r="134" spans="1:12" x14ac:dyDescent="0.35">
      <c r="A134" t="s">
        <v>10</v>
      </c>
      <c r="B134" t="s">
        <v>124</v>
      </c>
      <c r="C134" t="s">
        <v>125</v>
      </c>
      <c r="D134">
        <v>420</v>
      </c>
      <c r="E134">
        <v>0.70699999999999996</v>
      </c>
      <c r="F134">
        <v>30.7</v>
      </c>
      <c r="G134">
        <v>35</v>
      </c>
      <c r="H134">
        <v>29.3</v>
      </c>
      <c r="I134">
        <v>27.9</v>
      </c>
      <c r="J134">
        <v>48.6</v>
      </c>
      <c r="K134">
        <f t="shared" si="4"/>
        <v>32.15</v>
      </c>
      <c r="L134" t="str">
        <f t="shared" si="5"/>
        <v>NS1</v>
      </c>
    </row>
    <row r="135" spans="1:12" x14ac:dyDescent="0.35">
      <c r="A135" t="s">
        <v>10</v>
      </c>
      <c r="B135" t="s">
        <v>124</v>
      </c>
      <c r="C135" t="s">
        <v>112</v>
      </c>
      <c r="D135">
        <v>375</v>
      </c>
      <c r="E135">
        <v>0.76</v>
      </c>
      <c r="F135">
        <v>34.700000000000003</v>
      </c>
      <c r="G135">
        <v>34.4</v>
      </c>
      <c r="H135">
        <v>32</v>
      </c>
      <c r="I135">
        <v>37.6</v>
      </c>
      <c r="J135">
        <v>42.8</v>
      </c>
      <c r="K135">
        <f t="shared" si="4"/>
        <v>33.200000000000003</v>
      </c>
      <c r="L135" t="str">
        <f t="shared" si="5"/>
        <v>NS2</v>
      </c>
    </row>
    <row r="136" spans="1:12" x14ac:dyDescent="0.35">
      <c r="A136" t="s">
        <v>10</v>
      </c>
      <c r="B136" t="s">
        <v>124</v>
      </c>
      <c r="C136" t="s">
        <v>113</v>
      </c>
      <c r="D136">
        <v>1176</v>
      </c>
      <c r="E136">
        <v>0.70199999999999996</v>
      </c>
      <c r="F136">
        <v>36.9</v>
      </c>
      <c r="G136">
        <v>47.7</v>
      </c>
      <c r="H136">
        <v>33.9</v>
      </c>
      <c r="I136">
        <v>29.1</v>
      </c>
      <c r="J136">
        <v>47.7</v>
      </c>
      <c r="K136">
        <f t="shared" si="4"/>
        <v>40.799999999999997</v>
      </c>
      <c r="L136" t="str">
        <f t="shared" si="5"/>
        <v>N</v>
      </c>
    </row>
    <row r="137" spans="1:12" x14ac:dyDescent="0.35">
      <c r="A137" t="s">
        <v>10</v>
      </c>
      <c r="B137" t="s">
        <v>124</v>
      </c>
      <c r="C137" t="s">
        <v>114</v>
      </c>
      <c r="D137">
        <v>726</v>
      </c>
      <c r="E137">
        <v>0.71199999999999997</v>
      </c>
      <c r="F137">
        <v>35.5</v>
      </c>
      <c r="G137">
        <v>44.6</v>
      </c>
      <c r="H137">
        <v>34.700000000000003</v>
      </c>
      <c r="I137">
        <v>27.3</v>
      </c>
      <c r="J137">
        <v>45.2</v>
      </c>
      <c r="K137">
        <f t="shared" si="4"/>
        <v>39.650000000000006</v>
      </c>
      <c r="L137" t="str">
        <f t="shared" si="5"/>
        <v>P</v>
      </c>
    </row>
    <row r="138" spans="1:12" x14ac:dyDescent="0.35">
      <c r="A138" t="s">
        <v>10</v>
      </c>
      <c r="B138" t="s">
        <v>124</v>
      </c>
      <c r="C138" t="s">
        <v>126</v>
      </c>
      <c r="D138">
        <v>771</v>
      </c>
      <c r="E138">
        <v>0.69899999999999995</v>
      </c>
      <c r="F138">
        <v>36.799999999999997</v>
      </c>
      <c r="G138">
        <v>41.6</v>
      </c>
      <c r="H138">
        <v>36.200000000000003</v>
      </c>
      <c r="I138">
        <v>32.700000000000003</v>
      </c>
      <c r="J138">
        <v>40.200000000000003</v>
      </c>
      <c r="K138">
        <f t="shared" si="4"/>
        <v>38.900000000000006</v>
      </c>
      <c r="L138" t="str">
        <f t="shared" si="5"/>
        <v>M</v>
      </c>
    </row>
    <row r="139" spans="1:12" x14ac:dyDescent="0.35">
      <c r="A139" t="s">
        <v>10</v>
      </c>
      <c r="B139" t="s">
        <v>124</v>
      </c>
      <c r="C139" t="s">
        <v>127</v>
      </c>
      <c r="D139">
        <v>195</v>
      </c>
      <c r="E139">
        <v>0.67800000000000005</v>
      </c>
      <c r="F139">
        <v>31.3</v>
      </c>
      <c r="G139">
        <v>26.2</v>
      </c>
      <c r="H139">
        <v>30.8</v>
      </c>
      <c r="I139">
        <v>36.9</v>
      </c>
      <c r="J139">
        <v>45.4</v>
      </c>
      <c r="K139">
        <f t="shared" si="4"/>
        <v>28.5</v>
      </c>
      <c r="L139" t="str">
        <f t="shared" si="5"/>
        <v>SH</v>
      </c>
    </row>
    <row r="140" spans="1:12" x14ac:dyDescent="0.35">
      <c r="A140" t="s">
        <v>10</v>
      </c>
      <c r="B140" t="s">
        <v>124</v>
      </c>
      <c r="C140" t="s">
        <v>128</v>
      </c>
      <c r="D140">
        <v>966</v>
      </c>
      <c r="E140">
        <v>0.748</v>
      </c>
      <c r="F140">
        <v>42.9</v>
      </c>
      <c r="G140">
        <v>35.1</v>
      </c>
      <c r="H140">
        <v>48.8</v>
      </c>
      <c r="I140">
        <v>44.7</v>
      </c>
      <c r="J140">
        <v>50.3</v>
      </c>
      <c r="K140">
        <f t="shared" si="4"/>
        <v>41.95</v>
      </c>
      <c r="L140" t="str">
        <f t="shared" si="5"/>
        <v>G</v>
      </c>
    </row>
    <row r="141" spans="1:12" x14ac:dyDescent="0.35">
      <c r="A141" t="s">
        <v>10</v>
      </c>
      <c r="B141" t="s">
        <v>124</v>
      </c>
      <c r="C141" t="s">
        <v>129</v>
      </c>
      <c r="D141">
        <v>1725</v>
      </c>
      <c r="E141">
        <v>0.69099999999999995</v>
      </c>
      <c r="F141">
        <v>35.299999999999997</v>
      </c>
      <c r="G141">
        <v>37.4</v>
      </c>
      <c r="H141">
        <v>37.6</v>
      </c>
      <c r="I141">
        <v>31</v>
      </c>
      <c r="J141">
        <v>47.1</v>
      </c>
      <c r="K141">
        <f t="shared" si="4"/>
        <v>37.5</v>
      </c>
      <c r="L141" t="str">
        <f t="shared" si="5"/>
        <v>F</v>
      </c>
    </row>
    <row r="142" spans="1:12" x14ac:dyDescent="0.35">
      <c r="A142" t="s">
        <v>10</v>
      </c>
      <c r="B142" t="s">
        <v>124</v>
      </c>
      <c r="C142" t="s">
        <v>130</v>
      </c>
      <c r="D142">
        <v>585</v>
      </c>
      <c r="E142">
        <v>0.73</v>
      </c>
      <c r="F142">
        <v>36.200000000000003</v>
      </c>
      <c r="G142">
        <v>39.5</v>
      </c>
      <c r="H142">
        <v>34.9</v>
      </c>
      <c r="I142">
        <v>34.4</v>
      </c>
      <c r="J142">
        <v>48.7</v>
      </c>
      <c r="K142">
        <f t="shared" si="4"/>
        <v>37.200000000000003</v>
      </c>
      <c r="L142" t="str">
        <f t="shared" si="5"/>
        <v>M2-1</v>
      </c>
    </row>
    <row r="143" spans="1:12" x14ac:dyDescent="0.35">
      <c r="A143" t="s">
        <v>10</v>
      </c>
      <c r="B143" t="s">
        <v>124</v>
      </c>
      <c r="C143" t="s">
        <v>131</v>
      </c>
      <c r="D143">
        <v>267</v>
      </c>
      <c r="E143">
        <v>0.63700000000000001</v>
      </c>
      <c r="F143">
        <v>28.5</v>
      </c>
      <c r="G143">
        <v>36</v>
      </c>
      <c r="H143">
        <v>25.8</v>
      </c>
      <c r="I143">
        <v>23.6</v>
      </c>
      <c r="J143">
        <v>44.6</v>
      </c>
      <c r="K143">
        <f t="shared" si="4"/>
        <v>30.9</v>
      </c>
      <c r="L143" t="str">
        <f t="shared" si="5"/>
        <v>M2-2</v>
      </c>
    </row>
    <row r="144" spans="1:12" x14ac:dyDescent="0.35">
      <c r="A144" t="s">
        <v>10</v>
      </c>
      <c r="B144" t="s">
        <v>124</v>
      </c>
      <c r="C144" t="s">
        <v>132</v>
      </c>
      <c r="D144">
        <v>6498</v>
      </c>
      <c r="E144">
        <v>0.69299999999999995</v>
      </c>
      <c r="F144">
        <v>30.7</v>
      </c>
      <c r="G144">
        <v>36.1</v>
      </c>
      <c r="H144">
        <v>30.9</v>
      </c>
      <c r="I144">
        <v>25.1</v>
      </c>
      <c r="J144">
        <v>40.9</v>
      </c>
      <c r="K144">
        <f t="shared" si="4"/>
        <v>33.5</v>
      </c>
      <c r="L144" t="str">
        <f t="shared" si="5"/>
        <v>L</v>
      </c>
    </row>
    <row r="145" spans="1:12" x14ac:dyDescent="0.35">
      <c r="A145" t="s">
        <v>10</v>
      </c>
      <c r="B145" t="s">
        <v>133</v>
      </c>
      <c r="C145" t="s">
        <v>12</v>
      </c>
      <c r="D145">
        <v>420</v>
      </c>
      <c r="E145">
        <v>0.70599999999999996</v>
      </c>
      <c r="F145">
        <v>30.5</v>
      </c>
      <c r="G145">
        <v>35</v>
      </c>
      <c r="H145">
        <v>29.3</v>
      </c>
      <c r="I145">
        <v>27.1</v>
      </c>
      <c r="J145">
        <v>48.5</v>
      </c>
      <c r="K145">
        <f t="shared" si="4"/>
        <v>32.15</v>
      </c>
      <c r="L145" t="str">
        <f t="shared" si="5"/>
        <v>NS1</v>
      </c>
    </row>
    <row r="146" spans="1:12" x14ac:dyDescent="0.35">
      <c r="A146" t="s">
        <v>10</v>
      </c>
      <c r="B146" t="s">
        <v>133</v>
      </c>
      <c r="C146" t="s">
        <v>13</v>
      </c>
      <c r="D146">
        <v>375</v>
      </c>
      <c r="E146">
        <v>0.76500000000000001</v>
      </c>
      <c r="F146">
        <v>34.1</v>
      </c>
      <c r="G146">
        <v>34.4</v>
      </c>
      <c r="H146">
        <v>32</v>
      </c>
      <c r="I146">
        <v>36</v>
      </c>
      <c r="J146">
        <v>42.2</v>
      </c>
      <c r="K146">
        <f t="shared" si="4"/>
        <v>33.200000000000003</v>
      </c>
      <c r="L146" t="str">
        <f t="shared" si="5"/>
        <v>NS2</v>
      </c>
    </row>
    <row r="147" spans="1:12" x14ac:dyDescent="0.35">
      <c r="A147" t="s">
        <v>10</v>
      </c>
      <c r="B147" t="s">
        <v>133</v>
      </c>
      <c r="C147" t="s">
        <v>14</v>
      </c>
      <c r="D147">
        <v>1176</v>
      </c>
      <c r="E147">
        <v>0.70199999999999996</v>
      </c>
      <c r="F147">
        <v>37.1</v>
      </c>
      <c r="G147">
        <v>47.7</v>
      </c>
      <c r="H147">
        <v>33.9</v>
      </c>
      <c r="I147">
        <v>29.6</v>
      </c>
      <c r="J147">
        <v>45.4</v>
      </c>
      <c r="K147">
        <f t="shared" si="4"/>
        <v>40.799999999999997</v>
      </c>
      <c r="L147" t="str">
        <f t="shared" si="5"/>
        <v>N</v>
      </c>
    </row>
    <row r="148" spans="1:12" x14ac:dyDescent="0.35">
      <c r="A148" t="s">
        <v>10</v>
      </c>
      <c r="B148" t="s">
        <v>133</v>
      </c>
      <c r="C148" t="s">
        <v>86</v>
      </c>
      <c r="D148">
        <v>726</v>
      </c>
      <c r="E148">
        <v>0.71699999999999997</v>
      </c>
      <c r="F148">
        <v>35.5</v>
      </c>
      <c r="G148">
        <v>44.6</v>
      </c>
      <c r="H148">
        <v>35.1</v>
      </c>
      <c r="I148">
        <v>26.9</v>
      </c>
      <c r="J148">
        <v>43.7</v>
      </c>
      <c r="K148">
        <f t="shared" si="4"/>
        <v>39.85</v>
      </c>
      <c r="L148" t="str">
        <f t="shared" si="5"/>
        <v>P</v>
      </c>
    </row>
    <row r="149" spans="1:12" x14ac:dyDescent="0.35">
      <c r="A149" t="s">
        <v>10</v>
      </c>
      <c r="B149" t="s">
        <v>133</v>
      </c>
      <c r="C149" t="s">
        <v>87</v>
      </c>
      <c r="D149">
        <v>771</v>
      </c>
      <c r="E149">
        <v>0.69899999999999995</v>
      </c>
      <c r="F149">
        <v>36.700000000000003</v>
      </c>
      <c r="G149">
        <v>41.2</v>
      </c>
      <c r="H149">
        <v>36.200000000000003</v>
      </c>
      <c r="I149">
        <v>32.700000000000003</v>
      </c>
      <c r="J149">
        <v>39.4</v>
      </c>
      <c r="K149">
        <f t="shared" si="4"/>
        <v>38.700000000000003</v>
      </c>
      <c r="L149" t="str">
        <f t="shared" si="5"/>
        <v>M</v>
      </c>
    </row>
    <row r="150" spans="1:12" x14ac:dyDescent="0.35">
      <c r="A150" t="s">
        <v>10</v>
      </c>
      <c r="B150" t="s">
        <v>133</v>
      </c>
      <c r="C150" t="s">
        <v>88</v>
      </c>
      <c r="D150">
        <v>195</v>
      </c>
      <c r="E150">
        <v>0.67600000000000005</v>
      </c>
      <c r="F150">
        <v>32.299999999999997</v>
      </c>
      <c r="G150">
        <v>26.2</v>
      </c>
      <c r="H150">
        <v>32.299999999999997</v>
      </c>
      <c r="I150">
        <v>38.5</v>
      </c>
      <c r="J150">
        <v>52.1</v>
      </c>
      <c r="K150">
        <f t="shared" si="4"/>
        <v>29.25</v>
      </c>
      <c r="L150" t="str">
        <f t="shared" si="5"/>
        <v>SH</v>
      </c>
    </row>
    <row r="151" spans="1:12" x14ac:dyDescent="0.35">
      <c r="A151" t="s">
        <v>10</v>
      </c>
      <c r="B151" t="s">
        <v>133</v>
      </c>
      <c r="C151" t="s">
        <v>18</v>
      </c>
      <c r="D151">
        <v>966</v>
      </c>
      <c r="E151">
        <v>0.749</v>
      </c>
      <c r="F151">
        <v>43.1</v>
      </c>
      <c r="G151">
        <v>35.4</v>
      </c>
      <c r="H151">
        <v>48.4</v>
      </c>
      <c r="I151">
        <v>45.3</v>
      </c>
      <c r="J151">
        <v>49.4</v>
      </c>
      <c r="K151">
        <f t="shared" si="4"/>
        <v>41.9</v>
      </c>
      <c r="L151" t="str">
        <f t="shared" si="5"/>
        <v>G</v>
      </c>
    </row>
    <row r="152" spans="1:12" x14ac:dyDescent="0.35">
      <c r="A152" t="s">
        <v>10</v>
      </c>
      <c r="B152" t="s">
        <v>133</v>
      </c>
      <c r="C152" t="s">
        <v>19</v>
      </c>
      <c r="D152">
        <v>1725</v>
      </c>
      <c r="E152">
        <v>0.68799999999999994</v>
      </c>
      <c r="F152">
        <v>35.1</v>
      </c>
      <c r="G152">
        <v>37.4</v>
      </c>
      <c r="H152">
        <v>37.4</v>
      </c>
      <c r="I152">
        <v>30.6</v>
      </c>
      <c r="J152">
        <v>45.8</v>
      </c>
      <c r="K152">
        <f t="shared" si="4"/>
        <v>37.4</v>
      </c>
      <c r="L152" t="str">
        <f t="shared" si="5"/>
        <v>F</v>
      </c>
    </row>
    <row r="153" spans="1:12" x14ac:dyDescent="0.35">
      <c r="A153" t="s">
        <v>10</v>
      </c>
      <c r="B153" t="s">
        <v>133</v>
      </c>
      <c r="C153" t="s">
        <v>20</v>
      </c>
      <c r="D153">
        <v>585</v>
      </c>
      <c r="E153">
        <v>0.73099999999999998</v>
      </c>
      <c r="F153">
        <v>36.4</v>
      </c>
      <c r="G153">
        <v>39</v>
      </c>
      <c r="H153">
        <v>34.9</v>
      </c>
      <c r="I153">
        <v>35.4</v>
      </c>
      <c r="J153">
        <v>48</v>
      </c>
      <c r="K153">
        <f t="shared" si="4"/>
        <v>36.950000000000003</v>
      </c>
      <c r="L153" t="str">
        <f t="shared" si="5"/>
        <v>M2-1</v>
      </c>
    </row>
    <row r="154" spans="1:12" x14ac:dyDescent="0.35">
      <c r="A154" t="s">
        <v>10</v>
      </c>
      <c r="B154" t="s">
        <v>133</v>
      </c>
      <c r="C154" t="s">
        <v>21</v>
      </c>
      <c r="D154">
        <v>267</v>
      </c>
      <c r="E154">
        <v>0.63800000000000001</v>
      </c>
      <c r="F154">
        <v>28.8</v>
      </c>
      <c r="G154">
        <v>36</v>
      </c>
      <c r="H154">
        <v>27</v>
      </c>
      <c r="I154">
        <v>23.6</v>
      </c>
      <c r="J154">
        <v>44.2</v>
      </c>
      <c r="K154">
        <f t="shared" si="4"/>
        <v>31.5</v>
      </c>
      <c r="L154" t="str">
        <f t="shared" si="5"/>
        <v>M2-2</v>
      </c>
    </row>
    <row r="155" spans="1:12" x14ac:dyDescent="0.35">
      <c r="A155" t="s">
        <v>10</v>
      </c>
      <c r="B155" t="s">
        <v>133</v>
      </c>
      <c r="C155" t="s">
        <v>22</v>
      </c>
      <c r="D155">
        <v>6498</v>
      </c>
      <c r="E155">
        <v>0.69199999999999995</v>
      </c>
      <c r="F155">
        <v>30.9</v>
      </c>
      <c r="G155">
        <v>36.1</v>
      </c>
      <c r="H155">
        <v>30.9</v>
      </c>
      <c r="I155">
        <v>25.6</v>
      </c>
      <c r="J155">
        <v>41.5</v>
      </c>
      <c r="K155">
        <f t="shared" si="4"/>
        <v>33.5</v>
      </c>
      <c r="L155" t="str">
        <f t="shared" si="5"/>
        <v>L</v>
      </c>
    </row>
    <row r="156" spans="1:12" x14ac:dyDescent="0.35">
      <c r="A156" t="s">
        <v>10</v>
      </c>
      <c r="B156" t="s">
        <v>134</v>
      </c>
      <c r="C156" t="s">
        <v>135</v>
      </c>
      <c r="D156">
        <v>420</v>
      </c>
      <c r="E156">
        <v>0.70599999999999996</v>
      </c>
      <c r="F156">
        <v>30.5</v>
      </c>
      <c r="G156">
        <v>35</v>
      </c>
      <c r="H156">
        <v>29.3</v>
      </c>
      <c r="I156">
        <v>27.1</v>
      </c>
      <c r="J156">
        <v>48.1</v>
      </c>
      <c r="K156">
        <f t="shared" si="4"/>
        <v>32.15</v>
      </c>
      <c r="L156" t="str">
        <f t="shared" si="5"/>
        <v>NS1</v>
      </c>
    </row>
    <row r="157" spans="1:12" x14ac:dyDescent="0.35">
      <c r="A157" t="s">
        <v>10</v>
      </c>
      <c r="B157" t="s">
        <v>134</v>
      </c>
      <c r="C157" t="s">
        <v>136</v>
      </c>
      <c r="D157">
        <v>375</v>
      </c>
      <c r="E157">
        <v>0.745</v>
      </c>
      <c r="F157">
        <v>33.6</v>
      </c>
      <c r="G157">
        <v>34.4</v>
      </c>
      <c r="H157">
        <v>31.2</v>
      </c>
      <c r="I157">
        <v>35.200000000000003</v>
      </c>
      <c r="J157">
        <v>41.7</v>
      </c>
      <c r="K157">
        <f t="shared" si="4"/>
        <v>32.799999999999997</v>
      </c>
      <c r="L157" t="str">
        <f t="shared" si="5"/>
        <v>NS2</v>
      </c>
    </row>
    <row r="158" spans="1:12" x14ac:dyDescent="0.35">
      <c r="A158" t="s">
        <v>10</v>
      </c>
      <c r="B158" t="s">
        <v>134</v>
      </c>
      <c r="C158" t="s">
        <v>137</v>
      </c>
      <c r="D158">
        <v>1176</v>
      </c>
      <c r="E158">
        <v>0.69399999999999995</v>
      </c>
      <c r="F158">
        <v>36.799999999999997</v>
      </c>
      <c r="G158">
        <v>48.2</v>
      </c>
      <c r="H158">
        <v>33.9</v>
      </c>
      <c r="I158">
        <v>28.3</v>
      </c>
      <c r="J158">
        <v>45.1</v>
      </c>
      <c r="K158">
        <f t="shared" si="4"/>
        <v>41.05</v>
      </c>
      <c r="L158" t="str">
        <f t="shared" si="5"/>
        <v>N</v>
      </c>
    </row>
    <row r="159" spans="1:12" x14ac:dyDescent="0.35">
      <c r="A159" t="s">
        <v>10</v>
      </c>
      <c r="B159" t="s">
        <v>134</v>
      </c>
      <c r="C159" t="s">
        <v>138</v>
      </c>
      <c r="D159">
        <v>726</v>
      </c>
      <c r="E159">
        <v>0.71899999999999997</v>
      </c>
      <c r="F159">
        <v>36.1</v>
      </c>
      <c r="G159">
        <v>45</v>
      </c>
      <c r="H159">
        <v>35.1</v>
      </c>
      <c r="I159">
        <v>28.1</v>
      </c>
      <c r="J159">
        <v>43.3</v>
      </c>
      <c r="K159">
        <f t="shared" si="4"/>
        <v>40.049999999999997</v>
      </c>
      <c r="L159" t="str">
        <f t="shared" si="5"/>
        <v>P</v>
      </c>
    </row>
    <row r="160" spans="1:12" x14ac:dyDescent="0.35">
      <c r="A160" t="s">
        <v>10</v>
      </c>
      <c r="B160" t="s">
        <v>134</v>
      </c>
      <c r="C160" t="s">
        <v>139</v>
      </c>
      <c r="D160">
        <v>771</v>
      </c>
      <c r="E160">
        <v>0.69799999999999995</v>
      </c>
      <c r="F160">
        <v>36.700000000000003</v>
      </c>
      <c r="G160">
        <v>41.2</v>
      </c>
      <c r="H160">
        <v>36.6</v>
      </c>
      <c r="I160">
        <v>32.299999999999997</v>
      </c>
      <c r="J160">
        <v>39.9</v>
      </c>
      <c r="K160">
        <f t="shared" si="4"/>
        <v>38.900000000000006</v>
      </c>
      <c r="L160" t="str">
        <f t="shared" si="5"/>
        <v>M</v>
      </c>
    </row>
    <row r="161" spans="1:12" x14ac:dyDescent="0.35">
      <c r="A161" t="s">
        <v>10</v>
      </c>
      <c r="B161" t="s">
        <v>134</v>
      </c>
      <c r="C161" t="s">
        <v>140</v>
      </c>
      <c r="D161">
        <v>195</v>
      </c>
      <c r="E161">
        <v>0.68</v>
      </c>
      <c r="F161">
        <v>31.8</v>
      </c>
      <c r="G161">
        <v>26.2</v>
      </c>
      <c r="H161">
        <v>30.8</v>
      </c>
      <c r="I161">
        <v>38.5</v>
      </c>
      <c r="J161">
        <v>45.4</v>
      </c>
      <c r="K161">
        <f t="shared" si="4"/>
        <v>28.5</v>
      </c>
      <c r="L161" t="str">
        <f t="shared" si="5"/>
        <v>SH</v>
      </c>
    </row>
    <row r="162" spans="1:12" x14ac:dyDescent="0.35">
      <c r="A162" t="s">
        <v>10</v>
      </c>
      <c r="B162" t="s">
        <v>134</v>
      </c>
      <c r="C162" t="s">
        <v>141</v>
      </c>
      <c r="D162">
        <v>894</v>
      </c>
      <c r="E162">
        <v>0.751</v>
      </c>
      <c r="F162">
        <v>41.7</v>
      </c>
      <c r="G162">
        <v>34.200000000000003</v>
      </c>
      <c r="H162">
        <v>48</v>
      </c>
      <c r="I162">
        <v>43</v>
      </c>
      <c r="J162">
        <v>48.9</v>
      </c>
      <c r="K162">
        <f t="shared" si="4"/>
        <v>41.1</v>
      </c>
      <c r="L162" t="str">
        <f t="shared" si="5"/>
        <v>G</v>
      </c>
    </row>
    <row r="163" spans="1:12" x14ac:dyDescent="0.35">
      <c r="A163" t="s">
        <v>10</v>
      </c>
      <c r="B163" t="s">
        <v>134</v>
      </c>
      <c r="C163" t="s">
        <v>142</v>
      </c>
      <c r="D163">
        <v>1725</v>
      </c>
      <c r="E163">
        <v>0.69099999999999995</v>
      </c>
      <c r="F163">
        <v>35.700000000000003</v>
      </c>
      <c r="G163">
        <v>37.6</v>
      </c>
      <c r="H163">
        <v>37.700000000000003</v>
      </c>
      <c r="I163">
        <v>31.7</v>
      </c>
      <c r="J163">
        <v>44.4</v>
      </c>
      <c r="K163">
        <f t="shared" si="4"/>
        <v>37.650000000000006</v>
      </c>
      <c r="L163" t="str">
        <f t="shared" si="5"/>
        <v>F</v>
      </c>
    </row>
    <row r="164" spans="1:12" x14ac:dyDescent="0.35">
      <c r="A164" t="s">
        <v>10</v>
      </c>
      <c r="B164" t="s">
        <v>134</v>
      </c>
      <c r="C164" t="s">
        <v>143</v>
      </c>
      <c r="D164">
        <v>585</v>
      </c>
      <c r="E164">
        <v>0.72799999999999998</v>
      </c>
      <c r="F164">
        <v>36.6</v>
      </c>
      <c r="G164">
        <v>39.5</v>
      </c>
      <c r="H164">
        <v>34.9</v>
      </c>
      <c r="I164">
        <v>35.4</v>
      </c>
      <c r="J164">
        <v>48.3</v>
      </c>
      <c r="K164">
        <f t="shared" si="4"/>
        <v>37.200000000000003</v>
      </c>
      <c r="L164" t="str">
        <f t="shared" si="5"/>
        <v>M2-1</v>
      </c>
    </row>
    <row r="165" spans="1:12" x14ac:dyDescent="0.35">
      <c r="A165" t="s">
        <v>10</v>
      </c>
      <c r="B165" t="s">
        <v>134</v>
      </c>
      <c r="C165" t="s">
        <v>144</v>
      </c>
      <c r="D165">
        <v>267</v>
      </c>
      <c r="E165">
        <v>0.64200000000000002</v>
      </c>
      <c r="F165">
        <v>30</v>
      </c>
      <c r="G165">
        <v>36</v>
      </c>
      <c r="H165">
        <v>28.1</v>
      </c>
      <c r="I165">
        <v>25.8</v>
      </c>
      <c r="J165">
        <v>44.4</v>
      </c>
      <c r="K165">
        <f t="shared" si="4"/>
        <v>32.049999999999997</v>
      </c>
      <c r="L165" t="str">
        <f t="shared" si="5"/>
        <v>M2-2</v>
      </c>
    </row>
    <row r="166" spans="1:12" x14ac:dyDescent="0.35">
      <c r="A166" t="s">
        <v>10</v>
      </c>
      <c r="B166" t="s">
        <v>134</v>
      </c>
      <c r="C166" t="s">
        <v>145</v>
      </c>
      <c r="D166">
        <v>6498</v>
      </c>
      <c r="E166">
        <v>0.69299999999999995</v>
      </c>
      <c r="F166">
        <v>30.6</v>
      </c>
      <c r="G166">
        <v>35.799999999999997</v>
      </c>
      <c r="H166">
        <v>30.8</v>
      </c>
      <c r="I166">
        <v>25.2</v>
      </c>
      <c r="J166">
        <v>41.3</v>
      </c>
      <c r="K166">
        <f t="shared" si="4"/>
        <v>33.299999999999997</v>
      </c>
      <c r="L166" t="str">
        <f t="shared" si="5"/>
        <v>L</v>
      </c>
    </row>
    <row r="167" spans="1:12" x14ac:dyDescent="0.35">
      <c r="A167" t="s">
        <v>10</v>
      </c>
      <c r="B167" t="s">
        <v>146</v>
      </c>
      <c r="C167" t="s">
        <v>147</v>
      </c>
      <c r="D167">
        <v>420</v>
      </c>
      <c r="E167">
        <v>0.70099999999999996</v>
      </c>
      <c r="F167">
        <v>30.7</v>
      </c>
      <c r="G167">
        <v>35</v>
      </c>
      <c r="H167">
        <v>29.3</v>
      </c>
      <c r="I167">
        <v>27.9</v>
      </c>
      <c r="J167">
        <v>49.7</v>
      </c>
      <c r="K167">
        <f t="shared" si="4"/>
        <v>32.15</v>
      </c>
      <c r="L167" t="str">
        <f t="shared" si="5"/>
        <v>NS1</v>
      </c>
    </row>
    <row r="168" spans="1:12" x14ac:dyDescent="0.35">
      <c r="A168" t="s">
        <v>10</v>
      </c>
      <c r="B168" t="s">
        <v>146</v>
      </c>
      <c r="C168" t="s">
        <v>148</v>
      </c>
      <c r="D168">
        <v>375</v>
      </c>
      <c r="E168">
        <v>0.74399999999999999</v>
      </c>
      <c r="F168">
        <v>33.299999999999997</v>
      </c>
      <c r="G168">
        <v>34.4</v>
      </c>
      <c r="H168">
        <v>32</v>
      </c>
      <c r="I168">
        <v>33.6</v>
      </c>
      <c r="J168">
        <v>39.9</v>
      </c>
      <c r="K168">
        <f t="shared" si="4"/>
        <v>33.200000000000003</v>
      </c>
      <c r="L168" t="str">
        <f t="shared" si="5"/>
        <v>NS2</v>
      </c>
    </row>
    <row r="169" spans="1:12" x14ac:dyDescent="0.35">
      <c r="A169" t="s">
        <v>10</v>
      </c>
      <c r="B169" t="s">
        <v>146</v>
      </c>
      <c r="C169" t="s">
        <v>149</v>
      </c>
      <c r="D169">
        <v>1176</v>
      </c>
      <c r="E169">
        <v>0.70099999999999996</v>
      </c>
      <c r="F169">
        <v>36.6</v>
      </c>
      <c r="G169">
        <v>47.7</v>
      </c>
      <c r="H169">
        <v>33.9</v>
      </c>
      <c r="I169">
        <v>28.1</v>
      </c>
      <c r="J169">
        <v>45.2</v>
      </c>
      <c r="K169">
        <f t="shared" si="4"/>
        <v>40.799999999999997</v>
      </c>
      <c r="L169" t="str">
        <f t="shared" si="5"/>
        <v>N</v>
      </c>
    </row>
    <row r="170" spans="1:12" x14ac:dyDescent="0.35">
      <c r="A170" t="s">
        <v>10</v>
      </c>
      <c r="B170" t="s">
        <v>146</v>
      </c>
      <c r="C170" t="s">
        <v>150</v>
      </c>
      <c r="D170">
        <v>726</v>
      </c>
      <c r="E170">
        <v>0.72</v>
      </c>
      <c r="F170">
        <v>35.4</v>
      </c>
      <c r="G170">
        <v>44.6</v>
      </c>
      <c r="H170">
        <v>34.700000000000003</v>
      </c>
      <c r="I170">
        <v>26.9</v>
      </c>
      <c r="J170">
        <v>43.2</v>
      </c>
      <c r="K170">
        <f t="shared" si="4"/>
        <v>39.650000000000006</v>
      </c>
      <c r="L170" t="str">
        <f t="shared" si="5"/>
        <v>P</v>
      </c>
    </row>
    <row r="171" spans="1:12" x14ac:dyDescent="0.35">
      <c r="A171" t="s">
        <v>10</v>
      </c>
      <c r="B171" t="s">
        <v>146</v>
      </c>
      <c r="C171" t="s">
        <v>151</v>
      </c>
      <c r="D171">
        <v>771</v>
      </c>
      <c r="E171">
        <v>0.69199999999999995</v>
      </c>
      <c r="F171">
        <v>36.4</v>
      </c>
      <c r="G171">
        <v>41.2</v>
      </c>
      <c r="H171">
        <v>36.200000000000003</v>
      </c>
      <c r="I171">
        <v>31.9</v>
      </c>
      <c r="J171">
        <v>39</v>
      </c>
      <c r="K171">
        <f t="shared" si="4"/>
        <v>38.700000000000003</v>
      </c>
      <c r="L171" t="str">
        <f t="shared" si="5"/>
        <v>M</v>
      </c>
    </row>
    <row r="172" spans="1:12" x14ac:dyDescent="0.35">
      <c r="A172" t="s">
        <v>10</v>
      </c>
      <c r="B172" t="s">
        <v>146</v>
      </c>
      <c r="C172" t="s">
        <v>152</v>
      </c>
      <c r="D172">
        <v>195</v>
      </c>
      <c r="E172">
        <v>0.69399999999999995</v>
      </c>
      <c r="F172">
        <v>32.299999999999997</v>
      </c>
      <c r="G172">
        <v>24.6</v>
      </c>
      <c r="H172">
        <v>30.8</v>
      </c>
      <c r="I172">
        <v>41.5</v>
      </c>
      <c r="J172">
        <v>58.2</v>
      </c>
      <c r="K172">
        <f t="shared" si="4"/>
        <v>27.700000000000003</v>
      </c>
      <c r="L172" t="str">
        <f t="shared" si="5"/>
        <v>SH</v>
      </c>
    </row>
    <row r="173" spans="1:12" x14ac:dyDescent="0.35">
      <c r="A173" t="s">
        <v>10</v>
      </c>
      <c r="B173" t="s">
        <v>146</v>
      </c>
      <c r="C173" t="s">
        <v>153</v>
      </c>
      <c r="D173">
        <v>894</v>
      </c>
      <c r="E173">
        <v>0.75</v>
      </c>
      <c r="F173">
        <v>42.2</v>
      </c>
      <c r="G173">
        <v>33.200000000000003</v>
      </c>
      <c r="H173">
        <v>48</v>
      </c>
      <c r="I173">
        <v>45.3</v>
      </c>
      <c r="J173">
        <v>49.9</v>
      </c>
      <c r="K173">
        <f t="shared" si="4"/>
        <v>40.6</v>
      </c>
      <c r="L173" t="str">
        <f t="shared" si="5"/>
        <v>G</v>
      </c>
    </row>
    <row r="174" spans="1:12" x14ac:dyDescent="0.35">
      <c r="A174" t="s">
        <v>10</v>
      </c>
      <c r="B174" t="s">
        <v>146</v>
      </c>
      <c r="C174" t="s">
        <v>154</v>
      </c>
      <c r="D174">
        <v>1725</v>
      </c>
      <c r="E174">
        <v>0.69199999999999995</v>
      </c>
      <c r="F174">
        <v>35.1</v>
      </c>
      <c r="G174">
        <v>37.200000000000003</v>
      </c>
      <c r="H174">
        <v>37.200000000000003</v>
      </c>
      <c r="I174">
        <v>31</v>
      </c>
      <c r="J174">
        <v>46.4</v>
      </c>
      <c r="K174">
        <f t="shared" si="4"/>
        <v>37.200000000000003</v>
      </c>
      <c r="L174" t="str">
        <f t="shared" si="5"/>
        <v>F</v>
      </c>
    </row>
    <row r="175" spans="1:12" x14ac:dyDescent="0.35">
      <c r="A175" t="s">
        <v>10</v>
      </c>
      <c r="B175" t="s">
        <v>146</v>
      </c>
      <c r="C175" t="s">
        <v>155</v>
      </c>
      <c r="D175">
        <v>585</v>
      </c>
      <c r="E175">
        <v>0.73099999999999998</v>
      </c>
      <c r="F175">
        <v>36.6</v>
      </c>
      <c r="G175">
        <v>39</v>
      </c>
      <c r="H175">
        <v>34.9</v>
      </c>
      <c r="I175">
        <v>35.9</v>
      </c>
      <c r="J175">
        <v>48.7</v>
      </c>
      <c r="K175">
        <f t="shared" si="4"/>
        <v>36.950000000000003</v>
      </c>
      <c r="L175" t="str">
        <f t="shared" si="5"/>
        <v>M2-1</v>
      </c>
    </row>
    <row r="176" spans="1:12" x14ac:dyDescent="0.35">
      <c r="A176" t="s">
        <v>10</v>
      </c>
      <c r="B176" t="s">
        <v>146</v>
      </c>
      <c r="C176" t="s">
        <v>156</v>
      </c>
      <c r="D176">
        <v>267</v>
      </c>
      <c r="E176">
        <v>0.63900000000000001</v>
      </c>
      <c r="F176">
        <v>28.8</v>
      </c>
      <c r="G176">
        <v>37.1</v>
      </c>
      <c r="H176">
        <v>27</v>
      </c>
      <c r="I176">
        <v>22.5</v>
      </c>
      <c r="J176">
        <v>41.6</v>
      </c>
      <c r="K176">
        <f t="shared" si="4"/>
        <v>32.049999999999997</v>
      </c>
      <c r="L176" t="str">
        <f t="shared" si="5"/>
        <v>M2-2</v>
      </c>
    </row>
    <row r="177" spans="1:12" x14ac:dyDescent="0.35">
      <c r="A177" t="s">
        <v>10</v>
      </c>
      <c r="B177" t="s">
        <v>146</v>
      </c>
      <c r="C177" t="s">
        <v>157</v>
      </c>
      <c r="D177">
        <v>6498</v>
      </c>
      <c r="E177">
        <v>0.69099999999999995</v>
      </c>
      <c r="F177">
        <v>30.9</v>
      </c>
      <c r="G177">
        <v>35.9</v>
      </c>
      <c r="H177">
        <v>31</v>
      </c>
      <c r="I177">
        <v>25.8</v>
      </c>
      <c r="J177">
        <v>41.6</v>
      </c>
      <c r="K177">
        <f t="shared" si="4"/>
        <v>33.450000000000003</v>
      </c>
      <c r="L177" t="str">
        <f t="shared" si="5"/>
        <v>L</v>
      </c>
    </row>
    <row r="178" spans="1:12" x14ac:dyDescent="0.35">
      <c r="A178" t="s">
        <v>10</v>
      </c>
      <c r="B178" t="s">
        <v>158</v>
      </c>
      <c r="C178" t="s">
        <v>125</v>
      </c>
      <c r="D178">
        <v>420</v>
      </c>
      <c r="E178">
        <v>0.70599999999999996</v>
      </c>
      <c r="F178">
        <v>30.5</v>
      </c>
      <c r="G178">
        <v>35</v>
      </c>
      <c r="H178">
        <v>29.3</v>
      </c>
      <c r="I178">
        <v>27.1</v>
      </c>
      <c r="J178">
        <v>48.1</v>
      </c>
      <c r="K178">
        <f t="shared" si="4"/>
        <v>32.15</v>
      </c>
      <c r="L178" t="str">
        <f t="shared" si="5"/>
        <v>NS1</v>
      </c>
    </row>
    <row r="179" spans="1:12" x14ac:dyDescent="0.35">
      <c r="A179" t="s">
        <v>10</v>
      </c>
      <c r="B179" t="s">
        <v>158</v>
      </c>
      <c r="C179" t="s">
        <v>112</v>
      </c>
      <c r="D179">
        <v>375</v>
      </c>
      <c r="E179">
        <v>0.75800000000000001</v>
      </c>
      <c r="F179">
        <v>34.1</v>
      </c>
      <c r="G179">
        <v>34.4</v>
      </c>
      <c r="H179">
        <v>32</v>
      </c>
      <c r="I179">
        <v>36</v>
      </c>
      <c r="J179">
        <v>41.8</v>
      </c>
      <c r="K179">
        <f t="shared" si="4"/>
        <v>33.200000000000003</v>
      </c>
      <c r="L179" t="str">
        <f t="shared" si="5"/>
        <v>NS2</v>
      </c>
    </row>
    <row r="180" spans="1:12" x14ac:dyDescent="0.35">
      <c r="A180" t="s">
        <v>10</v>
      </c>
      <c r="B180" t="s">
        <v>158</v>
      </c>
      <c r="C180" t="s">
        <v>159</v>
      </c>
      <c r="D180">
        <v>1176</v>
      </c>
      <c r="E180">
        <v>0.70299999999999996</v>
      </c>
      <c r="F180">
        <v>36.799999999999997</v>
      </c>
      <c r="G180">
        <v>47.7</v>
      </c>
      <c r="H180">
        <v>33.9</v>
      </c>
      <c r="I180">
        <v>28.8</v>
      </c>
      <c r="J180">
        <v>45.7</v>
      </c>
      <c r="K180">
        <f t="shared" si="4"/>
        <v>40.799999999999997</v>
      </c>
      <c r="L180" t="str">
        <f t="shared" si="5"/>
        <v>N</v>
      </c>
    </row>
    <row r="181" spans="1:12" x14ac:dyDescent="0.35">
      <c r="A181" t="s">
        <v>10</v>
      </c>
      <c r="B181" t="s">
        <v>158</v>
      </c>
      <c r="C181" t="s">
        <v>114</v>
      </c>
      <c r="D181">
        <v>726</v>
      </c>
      <c r="E181">
        <v>0.71899999999999997</v>
      </c>
      <c r="F181">
        <v>36</v>
      </c>
      <c r="G181">
        <v>44.6</v>
      </c>
      <c r="H181">
        <v>34.700000000000003</v>
      </c>
      <c r="I181">
        <v>28.5</v>
      </c>
      <c r="J181">
        <v>44.4</v>
      </c>
      <c r="K181">
        <f t="shared" si="4"/>
        <v>39.650000000000006</v>
      </c>
      <c r="L181" t="str">
        <f t="shared" si="5"/>
        <v>P</v>
      </c>
    </row>
    <row r="182" spans="1:12" x14ac:dyDescent="0.35">
      <c r="A182" t="s">
        <v>10</v>
      </c>
      <c r="B182" t="s">
        <v>158</v>
      </c>
      <c r="C182" t="s">
        <v>160</v>
      </c>
      <c r="D182">
        <v>771</v>
      </c>
      <c r="E182">
        <v>0.68700000000000006</v>
      </c>
      <c r="F182">
        <v>36.200000000000003</v>
      </c>
      <c r="G182">
        <v>41.2</v>
      </c>
      <c r="H182">
        <v>36.200000000000003</v>
      </c>
      <c r="I182">
        <v>31.1</v>
      </c>
      <c r="J182">
        <v>38.700000000000003</v>
      </c>
      <c r="K182">
        <f t="shared" si="4"/>
        <v>38.700000000000003</v>
      </c>
      <c r="L182" t="str">
        <f t="shared" si="5"/>
        <v>M</v>
      </c>
    </row>
    <row r="183" spans="1:12" x14ac:dyDescent="0.35">
      <c r="A183" t="s">
        <v>10</v>
      </c>
      <c r="B183" t="s">
        <v>158</v>
      </c>
      <c r="C183" t="s">
        <v>161</v>
      </c>
      <c r="D183">
        <v>195</v>
      </c>
      <c r="E183">
        <v>0.68799999999999994</v>
      </c>
      <c r="F183">
        <v>32.299999999999997</v>
      </c>
      <c r="G183">
        <v>26.2</v>
      </c>
      <c r="H183">
        <v>30.8</v>
      </c>
      <c r="I183">
        <v>40</v>
      </c>
      <c r="J183">
        <v>61</v>
      </c>
      <c r="K183">
        <f t="shared" si="4"/>
        <v>28.5</v>
      </c>
      <c r="L183" t="str">
        <f t="shared" si="5"/>
        <v>SH</v>
      </c>
    </row>
    <row r="184" spans="1:12" x14ac:dyDescent="0.35">
      <c r="A184" t="s">
        <v>10</v>
      </c>
      <c r="B184" t="s">
        <v>158</v>
      </c>
      <c r="C184" t="s">
        <v>162</v>
      </c>
      <c r="D184">
        <v>966</v>
      </c>
      <c r="E184">
        <v>0.752</v>
      </c>
      <c r="F184">
        <v>43</v>
      </c>
      <c r="G184">
        <v>35.1</v>
      </c>
      <c r="H184">
        <v>48.8</v>
      </c>
      <c r="I184">
        <v>45</v>
      </c>
      <c r="J184">
        <v>54.2</v>
      </c>
      <c r="K184">
        <f t="shared" si="4"/>
        <v>41.95</v>
      </c>
      <c r="L184" t="str">
        <f t="shared" si="5"/>
        <v>G</v>
      </c>
    </row>
    <row r="185" spans="1:12" x14ac:dyDescent="0.35">
      <c r="A185" t="s">
        <v>10</v>
      </c>
      <c r="B185" t="s">
        <v>158</v>
      </c>
      <c r="C185" t="s">
        <v>163</v>
      </c>
      <c r="D185">
        <v>1725</v>
      </c>
      <c r="E185">
        <v>0.69099999999999995</v>
      </c>
      <c r="F185">
        <v>35.1</v>
      </c>
      <c r="G185">
        <v>37.200000000000003</v>
      </c>
      <c r="H185">
        <v>37.200000000000003</v>
      </c>
      <c r="I185">
        <v>31</v>
      </c>
      <c r="J185">
        <v>46.7</v>
      </c>
      <c r="K185">
        <f t="shared" si="4"/>
        <v>37.200000000000003</v>
      </c>
      <c r="L185" t="str">
        <f t="shared" si="5"/>
        <v>F</v>
      </c>
    </row>
    <row r="186" spans="1:12" x14ac:dyDescent="0.35">
      <c r="A186" t="s">
        <v>10</v>
      </c>
      <c r="B186" t="s">
        <v>158</v>
      </c>
      <c r="C186" t="s">
        <v>164</v>
      </c>
      <c r="D186">
        <v>585</v>
      </c>
      <c r="E186">
        <v>0.73199999999999998</v>
      </c>
      <c r="F186">
        <v>36.6</v>
      </c>
      <c r="G186">
        <v>39</v>
      </c>
      <c r="H186">
        <v>34.9</v>
      </c>
      <c r="I186">
        <v>35.9</v>
      </c>
      <c r="J186">
        <v>49.6</v>
      </c>
      <c r="K186">
        <f t="shared" si="4"/>
        <v>36.950000000000003</v>
      </c>
      <c r="L186" t="str">
        <f t="shared" si="5"/>
        <v>M2-1</v>
      </c>
    </row>
    <row r="187" spans="1:12" x14ac:dyDescent="0.35">
      <c r="A187" t="s">
        <v>10</v>
      </c>
      <c r="B187" t="s">
        <v>158</v>
      </c>
      <c r="C187" t="s">
        <v>165</v>
      </c>
      <c r="D187">
        <v>267</v>
      </c>
      <c r="E187">
        <v>0.63700000000000001</v>
      </c>
      <c r="F187">
        <v>29.2</v>
      </c>
      <c r="G187">
        <v>37.1</v>
      </c>
      <c r="H187">
        <v>27</v>
      </c>
      <c r="I187">
        <v>23.6</v>
      </c>
      <c r="J187">
        <v>44.8</v>
      </c>
      <c r="K187">
        <f t="shared" si="4"/>
        <v>32.049999999999997</v>
      </c>
      <c r="L187" t="str">
        <f t="shared" si="5"/>
        <v>M2-2</v>
      </c>
    </row>
    <row r="188" spans="1:12" x14ac:dyDescent="0.35">
      <c r="A188" t="s">
        <v>10</v>
      </c>
      <c r="B188" t="s">
        <v>158</v>
      </c>
      <c r="C188" t="s">
        <v>166</v>
      </c>
      <c r="D188">
        <v>6498</v>
      </c>
      <c r="E188">
        <v>0.69099999999999995</v>
      </c>
      <c r="F188">
        <v>30.7</v>
      </c>
      <c r="G188">
        <v>35.9</v>
      </c>
      <c r="H188">
        <v>30.9</v>
      </c>
      <c r="I188">
        <v>25.3</v>
      </c>
      <c r="J188">
        <v>41.1</v>
      </c>
      <c r="K188">
        <f t="shared" si="4"/>
        <v>33.4</v>
      </c>
      <c r="L188" t="str">
        <f t="shared" si="5"/>
        <v>L</v>
      </c>
    </row>
    <row r="189" spans="1:12" x14ac:dyDescent="0.35">
      <c r="A189" t="s">
        <v>10</v>
      </c>
      <c r="B189" t="s">
        <v>167</v>
      </c>
      <c r="C189" t="s">
        <v>36</v>
      </c>
      <c r="D189">
        <v>420</v>
      </c>
      <c r="E189">
        <v>0.70699999999999996</v>
      </c>
      <c r="F189">
        <v>30.7</v>
      </c>
      <c r="G189">
        <v>35</v>
      </c>
      <c r="H189">
        <v>29.3</v>
      </c>
      <c r="I189">
        <v>27.9</v>
      </c>
      <c r="J189">
        <v>48.6</v>
      </c>
      <c r="K189">
        <f t="shared" si="4"/>
        <v>32.15</v>
      </c>
      <c r="L189" t="str">
        <f t="shared" si="5"/>
        <v>NS1</v>
      </c>
    </row>
    <row r="190" spans="1:12" x14ac:dyDescent="0.35">
      <c r="A190" t="s">
        <v>10</v>
      </c>
      <c r="B190" t="s">
        <v>167</v>
      </c>
      <c r="C190" t="s">
        <v>37</v>
      </c>
      <c r="D190">
        <v>375</v>
      </c>
      <c r="E190">
        <v>0.76</v>
      </c>
      <c r="F190">
        <v>34.700000000000003</v>
      </c>
      <c r="G190">
        <v>34.4</v>
      </c>
      <c r="H190">
        <v>32</v>
      </c>
      <c r="I190">
        <v>37.6</v>
      </c>
      <c r="J190">
        <v>42.8</v>
      </c>
      <c r="K190">
        <f t="shared" si="4"/>
        <v>33.200000000000003</v>
      </c>
      <c r="L190" t="str">
        <f t="shared" si="5"/>
        <v>NS2</v>
      </c>
    </row>
    <row r="191" spans="1:12" x14ac:dyDescent="0.35">
      <c r="A191" t="s">
        <v>10</v>
      </c>
      <c r="B191" t="s">
        <v>167</v>
      </c>
      <c r="C191" t="s">
        <v>38</v>
      </c>
      <c r="D191">
        <v>1176</v>
      </c>
      <c r="E191">
        <v>0.70199999999999996</v>
      </c>
      <c r="F191">
        <v>37</v>
      </c>
      <c r="G191">
        <v>47.7</v>
      </c>
      <c r="H191">
        <v>33.9</v>
      </c>
      <c r="I191">
        <v>29.3</v>
      </c>
      <c r="J191">
        <v>47.9</v>
      </c>
      <c r="K191">
        <f t="shared" si="4"/>
        <v>40.799999999999997</v>
      </c>
      <c r="L191" t="str">
        <f t="shared" si="5"/>
        <v>N</v>
      </c>
    </row>
    <row r="192" spans="1:12" x14ac:dyDescent="0.35">
      <c r="A192" t="s">
        <v>10</v>
      </c>
      <c r="B192" t="s">
        <v>167</v>
      </c>
      <c r="C192" t="s">
        <v>39</v>
      </c>
      <c r="D192">
        <v>726</v>
      </c>
      <c r="E192">
        <v>0.71199999999999997</v>
      </c>
      <c r="F192">
        <v>35.4</v>
      </c>
      <c r="G192">
        <v>44.6</v>
      </c>
      <c r="H192">
        <v>34.700000000000003</v>
      </c>
      <c r="I192">
        <v>26.9</v>
      </c>
      <c r="J192">
        <v>44.9</v>
      </c>
      <c r="K192">
        <f t="shared" si="4"/>
        <v>39.650000000000006</v>
      </c>
      <c r="L192" t="str">
        <f t="shared" si="5"/>
        <v>P</v>
      </c>
    </row>
    <row r="193" spans="1:12" x14ac:dyDescent="0.35">
      <c r="A193" t="s">
        <v>10</v>
      </c>
      <c r="B193" t="s">
        <v>167</v>
      </c>
      <c r="C193" t="s">
        <v>168</v>
      </c>
      <c r="D193">
        <v>771</v>
      </c>
      <c r="E193">
        <v>0.69799999999999995</v>
      </c>
      <c r="F193">
        <v>36.700000000000003</v>
      </c>
      <c r="G193">
        <v>41.6</v>
      </c>
      <c r="H193">
        <v>36.200000000000003</v>
      </c>
      <c r="I193">
        <v>32.299999999999997</v>
      </c>
      <c r="J193">
        <v>40.200000000000003</v>
      </c>
      <c r="K193">
        <f t="shared" si="4"/>
        <v>38.900000000000006</v>
      </c>
      <c r="L193" t="str">
        <f t="shared" si="5"/>
        <v>M</v>
      </c>
    </row>
    <row r="194" spans="1:12" x14ac:dyDescent="0.35">
      <c r="A194" t="s">
        <v>10</v>
      </c>
      <c r="B194" t="s">
        <v>167</v>
      </c>
      <c r="C194" t="s">
        <v>169</v>
      </c>
      <c r="D194">
        <v>195</v>
      </c>
      <c r="E194">
        <v>0.67800000000000005</v>
      </c>
      <c r="F194">
        <v>31.3</v>
      </c>
      <c r="G194">
        <v>26.2</v>
      </c>
      <c r="H194">
        <v>30.8</v>
      </c>
      <c r="I194">
        <v>36.9</v>
      </c>
      <c r="J194">
        <v>45.4</v>
      </c>
      <c r="K194">
        <f t="shared" si="4"/>
        <v>28.5</v>
      </c>
      <c r="L194" t="str">
        <f t="shared" si="5"/>
        <v>SH</v>
      </c>
    </row>
    <row r="195" spans="1:12" x14ac:dyDescent="0.35">
      <c r="A195" t="s">
        <v>10</v>
      </c>
      <c r="B195" t="s">
        <v>167</v>
      </c>
      <c r="C195" t="s">
        <v>170</v>
      </c>
      <c r="D195">
        <v>966</v>
      </c>
      <c r="E195">
        <v>0.753</v>
      </c>
      <c r="F195">
        <v>42.7</v>
      </c>
      <c r="G195">
        <v>35.1</v>
      </c>
      <c r="H195">
        <v>48.1</v>
      </c>
      <c r="I195">
        <v>44.7</v>
      </c>
      <c r="J195">
        <v>48.9</v>
      </c>
      <c r="K195">
        <f t="shared" ref="K195:K199" si="6">(G195+H195)/2</f>
        <v>41.6</v>
      </c>
      <c r="L195" t="str">
        <f t="shared" ref="L195:L199" si="7">IF(ISNUMBER(SEARCH("M2-1",C195)),"M2-1",IF(ISNUMBER(SEARCH("M2-2",C195)),"M2-2",IF(LEFT(C195,3)="NS1","NS1",IF(LEFT(C195,3)="NS2","NS2",IF(LEFT(C195,2)="N_","N",IF(LEFT(C195,2)="P_","P",IF(LEFT(C195,2)="M_","M",IF(LEFT(C195,2)="SH","SH",IF(LEFT(C195,2)="G_","G",IF(LEFT(C195,2)="F_","F",IF(LEFT(C195,2)="L_","L","UNKNOWN")))))))))))</f>
        <v>G</v>
      </c>
    </row>
    <row r="196" spans="1:12" x14ac:dyDescent="0.35">
      <c r="A196" t="s">
        <v>10</v>
      </c>
      <c r="B196" t="s">
        <v>167</v>
      </c>
      <c r="C196" t="s">
        <v>171</v>
      </c>
      <c r="D196">
        <v>1725</v>
      </c>
      <c r="E196">
        <v>0.68899999999999995</v>
      </c>
      <c r="F196">
        <v>35.200000000000003</v>
      </c>
      <c r="G196">
        <v>37.4</v>
      </c>
      <c r="H196">
        <v>37.4</v>
      </c>
      <c r="I196">
        <v>30.8</v>
      </c>
      <c r="J196">
        <v>47.5</v>
      </c>
      <c r="K196">
        <f t="shared" si="6"/>
        <v>37.4</v>
      </c>
      <c r="L196" t="str">
        <f t="shared" si="7"/>
        <v>F</v>
      </c>
    </row>
    <row r="197" spans="1:12" x14ac:dyDescent="0.35">
      <c r="A197" t="s">
        <v>10</v>
      </c>
      <c r="B197" t="s">
        <v>167</v>
      </c>
      <c r="C197" t="s">
        <v>172</v>
      </c>
      <c r="D197">
        <v>585</v>
      </c>
      <c r="E197">
        <v>0.73099999999999998</v>
      </c>
      <c r="F197">
        <v>36.4</v>
      </c>
      <c r="G197">
        <v>39.5</v>
      </c>
      <c r="H197">
        <v>34.9</v>
      </c>
      <c r="I197">
        <v>34.9</v>
      </c>
      <c r="J197">
        <v>48.9</v>
      </c>
      <c r="K197">
        <f t="shared" si="6"/>
        <v>37.200000000000003</v>
      </c>
      <c r="L197" t="str">
        <f t="shared" si="7"/>
        <v>M2-1</v>
      </c>
    </row>
    <row r="198" spans="1:12" x14ac:dyDescent="0.35">
      <c r="A198" t="s">
        <v>10</v>
      </c>
      <c r="B198" t="s">
        <v>167</v>
      </c>
      <c r="C198" t="s">
        <v>173</v>
      </c>
      <c r="D198">
        <v>267</v>
      </c>
      <c r="E198">
        <v>0.63700000000000001</v>
      </c>
      <c r="F198">
        <v>28.5</v>
      </c>
      <c r="G198">
        <v>36</v>
      </c>
      <c r="H198">
        <v>25.8</v>
      </c>
      <c r="I198">
        <v>23.6</v>
      </c>
      <c r="J198">
        <v>44.6</v>
      </c>
      <c r="K198">
        <f t="shared" si="6"/>
        <v>30.9</v>
      </c>
      <c r="L198" t="str">
        <f t="shared" si="7"/>
        <v>M2-2</v>
      </c>
    </row>
    <row r="199" spans="1:12" x14ac:dyDescent="0.35">
      <c r="A199" t="s">
        <v>10</v>
      </c>
      <c r="B199" t="s">
        <v>167</v>
      </c>
      <c r="C199" t="s">
        <v>174</v>
      </c>
      <c r="D199">
        <v>6501</v>
      </c>
      <c r="E199">
        <v>0.69099999999999995</v>
      </c>
      <c r="F199">
        <v>30.7</v>
      </c>
      <c r="G199">
        <v>36</v>
      </c>
      <c r="H199">
        <v>31</v>
      </c>
      <c r="I199">
        <v>25</v>
      </c>
      <c r="J199">
        <v>41</v>
      </c>
      <c r="K199">
        <f t="shared" si="6"/>
        <v>33.5</v>
      </c>
      <c r="L199" t="str">
        <f t="shared" si="7"/>
        <v>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CAI PLOT</vt:lpstr>
      <vt:lpstr>CAI_Results</vt:lpstr>
      <vt:lpstr>hRSV-B(N PLOT)</vt:lpstr>
      <vt:lpstr>hRSV-A (N PLOT)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SHAHZAD</cp:lastModifiedBy>
  <dcterms:created xsi:type="dcterms:W3CDTF">2026-07-19T13:05:58Z</dcterms:created>
  <dcterms:modified xsi:type="dcterms:W3CDTF">2026-07-21T15:32:18Z</dcterms:modified>
</cp:coreProperties>
</file>